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<sst xmlns="http://schemas.openxmlformats.org/spreadsheetml/2006/main" count="6072" uniqueCount="2742">
  <si>
    <t>Timestamp</t>
  </si>
  <si>
    <t>অরিজিনাল ভর্তি তারিখ</t>
  </si>
  <si>
    <t>শিক্ষার্থীর নাম (বাংলা)</t>
  </si>
  <si>
    <t>শিক্ষার্থীর নাম (ইংরেজি)</t>
  </si>
  <si>
    <t>পিতার নাম (বাংলা)</t>
  </si>
  <si>
    <t>পিতার নাম (ইংরেজি)</t>
  </si>
  <si>
    <t>পিতার পেশা</t>
  </si>
  <si>
    <t>পিতার মোবাইল নম্বর</t>
  </si>
  <si>
    <t>মাতার নাম (বাংলা)</t>
  </si>
  <si>
    <t>মাতার নাম (ইংরেজি)</t>
  </si>
  <si>
    <t>মাতার পেশা</t>
  </si>
  <si>
    <t>মাতার মোবাইল নম্বর</t>
  </si>
  <si>
    <t>কর্মশালায় উত্তীর্ণের তারিখ</t>
  </si>
  <si>
    <t>কর্মশালায় উত্তীর্ণের বিষয়</t>
  </si>
  <si>
    <t>কর্মশালার রেজিস্ট্রেশন নম্বর</t>
  </si>
  <si>
    <t>ভর্তির আবেদনের বিষয়</t>
  </si>
  <si>
    <t>জাতীয় পরিচয়পত্র/জন্ম নিবন্ধন নম্বর</t>
  </si>
  <si>
    <t>বর্তমান ঠিকানা</t>
  </si>
  <si>
    <t>স্থায়ী ঠিকানা</t>
  </si>
  <si>
    <t>স্থায়ী ঠিকানা (জেলা)</t>
  </si>
  <si>
    <t>জন্ম তারিখ</t>
  </si>
  <si>
    <t>ধর্ম</t>
  </si>
  <si>
    <t>লিঙ্গ</t>
  </si>
  <si>
    <t xml:space="preserve">জাতীয়তা </t>
  </si>
  <si>
    <t>রক্তের গ্রুপ</t>
  </si>
  <si>
    <t>শিক্ষা প্রতিষ্ঠান</t>
  </si>
  <si>
    <t>শ্রেণ/বর্ষ</t>
  </si>
  <si>
    <t>রোল</t>
  </si>
  <si>
    <t>বিভাগ/বিষয়</t>
  </si>
  <si>
    <t>মোবাইল (অফলাইন)</t>
  </si>
  <si>
    <t>মোবাইল (অনলাইন)</t>
  </si>
  <si>
    <t>ই-মেইল</t>
  </si>
  <si>
    <t>ফেসবুক আইডি</t>
  </si>
  <si>
    <t>ছবি লিঙ্ক</t>
  </si>
  <si>
    <t>আবেদন ফরমের স্ক্যান কপি (PDF)</t>
  </si>
  <si>
    <t>মন্তব্য</t>
  </si>
  <si>
    <t>ফরম সাবমিট করেছেন</t>
  </si>
  <si>
    <t>ব্যাচ</t>
  </si>
  <si>
    <t>সাদিয়া ইসলাম</t>
  </si>
  <si>
    <t>SADIA ISLAM</t>
  </si>
  <si>
    <t xml:space="preserve">মোঃ সাইফুল ইসলাম </t>
  </si>
  <si>
    <t>MD. SAIFUL ISLAM</t>
  </si>
  <si>
    <t xml:space="preserve">চাকরি </t>
  </si>
  <si>
    <t>01686229443</t>
  </si>
  <si>
    <t xml:space="preserve">বিপা আক্তার </t>
  </si>
  <si>
    <t>BIPA AKTER</t>
  </si>
  <si>
    <t xml:space="preserve">গৃহিণী </t>
  </si>
  <si>
    <t>01725645298</t>
  </si>
  <si>
    <t>গান</t>
  </si>
  <si>
    <t>SRI-00541</t>
  </si>
  <si>
    <t>20182922004113478</t>
  </si>
  <si>
    <t xml:space="preserve">মুসলিম নগর জিরো পয়েন্ট,ডেমরা,ঢাকা। </t>
  </si>
  <si>
    <t>ফতেপট্টি,শরিফাবাদ,মুকসুদপুর</t>
  </si>
  <si>
    <t>গোপালগঞ্জ</t>
  </si>
  <si>
    <t>ইসলাম</t>
  </si>
  <si>
    <t>মেয়ে</t>
  </si>
  <si>
    <t xml:space="preserve">বাংলাদেশী </t>
  </si>
  <si>
    <t xml:space="preserve">নিদাউল কুরআন মাদরাসা </t>
  </si>
  <si>
    <t xml:space="preserve">২য় </t>
  </si>
  <si>
    <t>Saiful Islam</t>
  </si>
  <si>
    <t>বেতন ৩০% ছাড়</t>
  </si>
  <si>
    <t>Ahsan al jawad mahi</t>
  </si>
  <si>
    <t xml:space="preserve">ফুয়াদুল ইসলাম </t>
  </si>
  <si>
    <t>FUADUL ISLAM</t>
  </si>
  <si>
    <t xml:space="preserve">মোঃমিসবাহ উদ্দিন </t>
  </si>
  <si>
    <t>MD. MISBAH UDDIN</t>
  </si>
  <si>
    <t xml:space="preserve">ব্যবসা </t>
  </si>
  <si>
    <t>01913313332</t>
  </si>
  <si>
    <t xml:space="preserve">সালমা আউয়াল </t>
  </si>
  <si>
    <t>SALMA AWAL</t>
  </si>
  <si>
    <t>01733509931</t>
  </si>
  <si>
    <t>অভিনয়</t>
  </si>
  <si>
    <t>SRI-00348</t>
  </si>
  <si>
    <t>20152692001327731</t>
  </si>
  <si>
    <t xml:space="preserve">নতুনবাগ, রামপুরা,ঢাকা </t>
  </si>
  <si>
    <t>পরমতলা,মুরাদনগর</t>
  </si>
  <si>
    <t>কুমিল্লা</t>
  </si>
  <si>
    <t>ছেলে</t>
  </si>
  <si>
    <t>A+</t>
  </si>
  <si>
    <t xml:space="preserve">নিবরাস মাদরাসা </t>
  </si>
  <si>
    <t xml:space="preserve">৪র্থ </t>
  </si>
  <si>
    <t>গানে আছে,,,(ছবি দেয়নি)</t>
  </si>
  <si>
    <t xml:space="preserve">Ahsan al jawad mahi  </t>
  </si>
  <si>
    <t xml:space="preserve">FUADUL ISLAM </t>
  </si>
  <si>
    <t xml:space="preserve">মোঃ মিসবাহ উদ্দিন </t>
  </si>
  <si>
    <t xml:space="preserve">নতুনবাগ,রামপুরা,ঢাকা </t>
  </si>
  <si>
    <t>অভিনয়ে আছে,,,(ছবি দেয়নি)</t>
  </si>
  <si>
    <t>আফিয়া আমিন</t>
  </si>
  <si>
    <t>Afia Amin</t>
  </si>
  <si>
    <t>আল আমিন</t>
  </si>
  <si>
    <t>Al Amin</t>
  </si>
  <si>
    <t>শিক্ষকতা</t>
  </si>
  <si>
    <t>01911491448</t>
  </si>
  <si>
    <t>খাদিজা তুল কোবরা</t>
  </si>
  <si>
    <t>Khadijatul Qubra</t>
  </si>
  <si>
    <t>গৃহিনী</t>
  </si>
  <si>
    <t>01613900789</t>
  </si>
  <si>
    <t>SRI-00538</t>
  </si>
  <si>
    <t>20172617222122465</t>
  </si>
  <si>
    <t>৯৩৮,মধ্য মনিপুর ,মিরপুর ২</t>
  </si>
  <si>
    <t xml:space="preserve">নগর কোন্ডা সাভার,ঢাকা </t>
  </si>
  <si>
    <t>ঢাকা</t>
  </si>
  <si>
    <t>বাংলাদেশী</t>
  </si>
  <si>
    <t xml:space="preserve">খাদেমুল কুরআন মডেল মাদরাসা </t>
  </si>
  <si>
    <t>১ম</t>
  </si>
  <si>
    <t>hafejamin321@gmail.com</t>
  </si>
  <si>
    <t xml:space="preserve">MD AL Amin </t>
  </si>
  <si>
    <t xml:space="preserve">ব্লাড গ্রুপ নেই, ছবি নেই </t>
  </si>
  <si>
    <t>Tahsin Mahmud</t>
  </si>
  <si>
    <t xml:space="preserve">জারিফ আব্দুল্লাহ </t>
  </si>
  <si>
    <t>JARIF ABDULLAH</t>
  </si>
  <si>
    <t xml:space="preserve">মোঃ আওয়াল হোসেন মিঞা </t>
  </si>
  <si>
    <t>MD. AWAL HOSSEN MIA</t>
  </si>
  <si>
    <t>01716000303</t>
  </si>
  <si>
    <t xml:space="preserve">মোছাঃ মাহজুরা খাতুন </t>
  </si>
  <si>
    <t>MST. MAHZURA KHATUN</t>
  </si>
  <si>
    <t>01767727355</t>
  </si>
  <si>
    <t>SRI-00558</t>
  </si>
  <si>
    <t>20165023003109952</t>
  </si>
  <si>
    <t xml:space="preserve">ব্যাংক কলোনি,ভাঙ্গারি গলি,সাভার,ঢাকা </t>
  </si>
  <si>
    <t xml:space="preserve">চরপাড়া, জানিপুর,খোকশা </t>
  </si>
  <si>
    <t>কুষ্টিয়া</t>
  </si>
  <si>
    <t xml:space="preserve">বাংলাদেশি </t>
  </si>
  <si>
    <t>B+</t>
  </si>
  <si>
    <t>জাবাল-ই-নুর আইডিয়াল মাদ্রাসা</t>
  </si>
  <si>
    <t xml:space="preserve">পুরাতন শিল্পী </t>
  </si>
  <si>
    <t>মেহরান তাজমিল</t>
  </si>
  <si>
    <t>MEHRAN TAJMEEL</t>
  </si>
  <si>
    <t>মাসুম বিল্লাহ</t>
  </si>
  <si>
    <t>MASUM BILLAH</t>
  </si>
  <si>
    <t>ব্যবসায়ী</t>
  </si>
  <si>
    <t>01885841432</t>
  </si>
  <si>
    <t>সুমাইয়্যা আক্তার তামিমা</t>
  </si>
  <si>
    <t>SUMAIYA AKTAR TAMIMA</t>
  </si>
  <si>
    <t>01885841431</t>
  </si>
  <si>
    <t>SRI-00034</t>
  </si>
  <si>
    <t>৫৮/১৫, মদিনা চত্তর, মুসলিমনগড়, মাতুয়াইল,ডেমরা.ঢাকা।</t>
  </si>
  <si>
    <t>৫৮/১৫, মদিনা চত্তর, মুসলিমনগড়, মাতুয়াইল, ডেমরা, ঢাকা।</t>
  </si>
  <si>
    <t>B−</t>
  </si>
  <si>
    <t>দারুননাজাত একাডেমি</t>
  </si>
  <si>
    <t>নার্সারী</t>
  </si>
  <si>
    <t>একাডেমির সাথে হিফয</t>
  </si>
  <si>
    <t>sumutamima50@gmail.com</t>
  </si>
  <si>
    <t>Tamima Masum</t>
  </si>
  <si>
    <t>জন্মনিবন্ধন নম্বর দেয়নি</t>
  </si>
  <si>
    <t>মোঃ নিয়ামুল হাছান</t>
  </si>
  <si>
    <t>সুওয়াইবা আমিন তুবা</t>
  </si>
  <si>
    <t>SUWAIBA AMIN TUBA</t>
  </si>
  <si>
    <t>মো: আমিনুল হক জুয়েল</t>
  </si>
  <si>
    <t>MD. AMINUL HAQUE JEWEL</t>
  </si>
  <si>
    <t>ব্যবসা</t>
  </si>
  <si>
    <t>01819270801</t>
  </si>
  <si>
    <t>শারমিন সুলতানা</t>
  </si>
  <si>
    <t>SARMIN SULTANA</t>
  </si>
  <si>
    <t>শিক্ষিকা</t>
  </si>
  <si>
    <t>01748301973</t>
  </si>
  <si>
    <t>SRI-00520</t>
  </si>
  <si>
    <t>20192613869281993</t>
  </si>
  <si>
    <t>শূভাট্যা উত্তর পাড়া, শূভাট্যা, কেরানীগঞ্জ, ঢাকা</t>
  </si>
  <si>
    <t>12/19/0019</t>
  </si>
  <si>
    <t>O+</t>
  </si>
  <si>
    <t>আল-ওয়াকিল ইটাঃ মাদরাসা</t>
  </si>
  <si>
    <t>নার্সারি</t>
  </si>
  <si>
    <t>07</t>
  </si>
  <si>
    <t>sarminsultana19@gmail.com</t>
  </si>
  <si>
    <t>Sarmin Sultana</t>
  </si>
  <si>
    <t>মো: নিয়ামুল হাছান</t>
  </si>
  <si>
    <t>সাবিহা তাবাসসুম আরিশা</t>
  </si>
  <si>
    <t>SABIHA TABASSUM ARISHA</t>
  </si>
  <si>
    <t>মামুনুর রশীদ</t>
  </si>
  <si>
    <t>MAMUNUR RASHID</t>
  </si>
  <si>
    <t>শিক্ষক</t>
  </si>
  <si>
    <t>01975109109</t>
  </si>
  <si>
    <t>শাহিনা আখতার</t>
  </si>
  <si>
    <t>SAHINA ATAR</t>
  </si>
  <si>
    <t>01717314827</t>
  </si>
  <si>
    <t>ক্বিরাত</t>
  </si>
  <si>
    <t>SRI-00663</t>
  </si>
  <si>
    <t>মাতুয়াইল, সফুরা টাওয়ার, ০১, ডেমরা, ঢাকা</t>
  </si>
  <si>
    <t>হাঁসা, নয়ারহাট, ফরিদগঞ্জ, চাঁদপুর</t>
  </si>
  <si>
    <t>চাঁদপুর</t>
  </si>
  <si>
    <t>তামিরুল মিল্লাম মহিলা কামিল মাদরাসা</t>
  </si>
  <si>
    <t>চতুর্থ</t>
  </si>
  <si>
    <t>shahinarashid95@gmail.com</t>
  </si>
  <si>
    <t>Mamunur Rashid</t>
  </si>
  <si>
    <t>সংগীত বিভাগেও ভর্তি হয়েছে , জন্ম নিবন্ধন নেই</t>
  </si>
  <si>
    <t>SHAHINA AKTAR</t>
  </si>
  <si>
    <t>মাতুয়াইল, সফুরা টাওয়ার, ০১, মাতুয়াইল, ডেমরা, ঢাকা</t>
  </si>
  <si>
    <t>তামীরুল মিল্লাত মহিলা কামিল মাদরাসা</t>
  </si>
  <si>
    <t>চতুর্ধ</t>
  </si>
  <si>
    <t>Shahina Binte oAhid</t>
  </si>
  <si>
    <t>জন্ম নিবন্ধন  নেই , ক্বিরাত বিভাগেও ভর্তি  হয়েছে</t>
  </si>
  <si>
    <t>সাদ মোহাম্মাদ লাবিব</t>
  </si>
  <si>
    <t>SAAD MUHAMMAD LABIB</t>
  </si>
  <si>
    <t>SAHINA AKTAR</t>
  </si>
  <si>
    <t>SRI-00662</t>
  </si>
  <si>
    <t>রোড: ০১, সফুরাটাওয়ার. মাতুয়াইল, ডেমরা, ঢাকা</t>
  </si>
  <si>
    <t>হাঁসা, নয়ারহাট, ফরিদন্জ, চাঁদপুর</t>
  </si>
  <si>
    <t>নিদাউল কুরআন মাদরাসা</t>
  </si>
  <si>
    <t>04</t>
  </si>
  <si>
    <t>Shahina Binte OAhid</t>
  </si>
  <si>
    <t>জন্ম নিবন্ধন নেই, ক্বিরাত বিভাগেও ভর্তি হয়েছে</t>
  </si>
  <si>
    <t>জন্ম নিবন্ধন নেই, সংগিত বিভাগেও ভর্তি হয়েছে</t>
  </si>
  <si>
    <t>নিয়ামুল হাছান</t>
  </si>
  <si>
    <t>মুনিরা বিনতে মাইন</t>
  </si>
  <si>
    <t>MUNIRA BINTE MAIN</t>
  </si>
  <si>
    <t>ড. মোঃ মাইন উদ্দিন</t>
  </si>
  <si>
    <t>DR. MD. MAIN UDDIN</t>
  </si>
  <si>
    <t>ব্যাংকার</t>
  </si>
  <si>
    <t>01792918481</t>
  </si>
  <si>
    <t>ইসরাত জাহান জেরিন</t>
  </si>
  <si>
    <t>ESRAT JAHAN JERIN</t>
  </si>
  <si>
    <t>01831624676</t>
  </si>
  <si>
    <t>SRI- 00383</t>
  </si>
  <si>
    <t>201351173231160645</t>
  </si>
  <si>
    <t>ফ্লাট-সি/৬,৭ম তালা, ৫৩৯,অঙ্গন জাহান, পেয়ারাবাগ, মহবাজার, শান্তিনগর,রমনা, ঢাকা-1217</t>
  </si>
  <si>
    <t>বালুরচর (সুজনগ্রাম) এন.ইসলাম রোড, আলেকজ্যান্ডার, রামগতি, লক্ষীপুর-3730</t>
  </si>
  <si>
    <t>লক্ষ্মীপুর</t>
  </si>
  <si>
    <t>ভিকারুন্নিসা নুন স্কুল এন্ড কলেজ</t>
  </si>
  <si>
    <t>৬ষ্ঠ</t>
  </si>
  <si>
    <t>বাংলা মাধ্যম,প্রাত:কামীন শাখা</t>
  </si>
  <si>
    <t>mainsji61@gmail.com</t>
  </si>
  <si>
    <t/>
  </si>
  <si>
    <t>মোঃমেহেদি হাসান রামিম</t>
  </si>
  <si>
    <t>MD.MEHEDI HASAN RAMIM</t>
  </si>
  <si>
    <t>মোঃ আনছার উদ্দিন</t>
  </si>
  <si>
    <t>MD ANSAR UDDIN</t>
  </si>
  <si>
    <t>01848592740</t>
  </si>
  <si>
    <t>তাসলিমা আক্তার মুন্নি</t>
  </si>
  <si>
    <t>TASLIMA AKTQAR MUNNI</t>
  </si>
  <si>
    <t>01715913358</t>
  </si>
  <si>
    <t>SRI-00047</t>
  </si>
  <si>
    <t>ইমামগঞ্জ বাজার,চকবাজার,ঢাকা</t>
  </si>
  <si>
    <t>রাজাপুর,মেহেদিগঞ্জ,বরিশাল</t>
  </si>
  <si>
    <t>বরিশাল</t>
  </si>
  <si>
    <t>দারুন নাজাত একাডেমি</t>
  </si>
  <si>
    <t>হিফজ/জেনারেল</t>
  </si>
  <si>
    <t>ramim43250@gmail.com</t>
  </si>
  <si>
    <t>Syed.rafi.992382</t>
  </si>
  <si>
    <t>জন্মনিবন্ধন নাম্বার ও ব্লাড গ্রুপ নেই</t>
  </si>
  <si>
    <t>মোঃ আমির হামজা</t>
  </si>
  <si>
    <t>MD.AMIR HAMZA</t>
  </si>
  <si>
    <t>মোহাম্মদ হামিদুল হক শিকদার</t>
  </si>
  <si>
    <t>MOHAMMAD HAMIDUL HAQUE SIKDER</t>
  </si>
  <si>
    <t>সরকারি চাকুরি</t>
  </si>
  <si>
    <t>01645738803</t>
  </si>
  <si>
    <t xml:space="preserve">রেবেকা আক্তার </t>
  </si>
  <si>
    <t>REBEKA AKTAR</t>
  </si>
  <si>
    <t>সরকারী চাকুরী</t>
  </si>
  <si>
    <t>01719781789</t>
  </si>
  <si>
    <t>SRI-00385</t>
  </si>
  <si>
    <t>মাতুয়াইল,ডেমরা,ঢাকা</t>
  </si>
  <si>
    <t>পাথরাইল,মুক্সুদপুর,গোপালগঞ্জ</t>
  </si>
  <si>
    <t>মাতুয়াইল হিফজ মাদ্রাসা</t>
  </si>
  <si>
    <t>হিফজ(নুরানী)</t>
  </si>
  <si>
    <t>নুরানী</t>
  </si>
  <si>
    <t>01327486764</t>
  </si>
  <si>
    <t>hamidulsikder12@gmail.com</t>
  </si>
  <si>
    <t>Hamidul Haque Sikder</t>
  </si>
  <si>
    <t>জন্মনিবন্ধন নেই</t>
  </si>
  <si>
    <t>ওমর ফারুক ইমন</t>
  </si>
  <si>
    <t>OMAR FARUK EMON</t>
  </si>
  <si>
    <t>মোঃ রহমত উল্ল্যাহ</t>
  </si>
  <si>
    <t>MD ROHMOT ULLAH</t>
  </si>
  <si>
    <t>01301415963</t>
  </si>
  <si>
    <t xml:space="preserve">তানিয়া আক্তার </t>
  </si>
  <si>
    <t>TANIA AKTER</t>
  </si>
  <si>
    <t>সাবেক শিক্ষিকা</t>
  </si>
  <si>
    <t>013145963</t>
  </si>
  <si>
    <t>SRI-00570</t>
  </si>
  <si>
    <t>20137511085102871</t>
  </si>
  <si>
    <t>নবাবগঞ্জ ,লালবাগ,ঢাকা</t>
  </si>
  <si>
    <t>মুমিনপুর,চাটখিল,নোয়াখালী</t>
  </si>
  <si>
    <t>নোয়াখালী</t>
  </si>
  <si>
    <t>হযরতবাগ ইসলামিয়া আলিম মাদ্রাসা</t>
  </si>
  <si>
    <t>৫ম</t>
  </si>
  <si>
    <t>0131415963</t>
  </si>
  <si>
    <t>omurfarukfficial@gmail.com</t>
  </si>
  <si>
    <t>OMUR FARUK EMON</t>
  </si>
  <si>
    <t>ছবি নেই</t>
  </si>
  <si>
    <t>MD RAHMAT ULLAH</t>
  </si>
  <si>
    <t xml:space="preserve">TANIA AKTAR </t>
  </si>
  <si>
    <t xml:space="preserve">আগে শিক্ষিকা ছিলো </t>
  </si>
  <si>
    <t>01887243976</t>
  </si>
  <si>
    <t>নবাবগঞ্জ বড় মসজিদ,লালবাগ,ঢাকা</t>
  </si>
  <si>
    <t>মোমিনপুর,চাটখিল</t>
  </si>
  <si>
    <t xml:space="preserve">হযরতবাগ ইসলামিয়া আলিম মাদ্রাসা </t>
  </si>
  <si>
    <t>OMAR FARUQ EMON</t>
  </si>
  <si>
    <t>ছবিতে ঘাম লাগায়নি</t>
  </si>
  <si>
    <t>6/24/0025</t>
  </si>
  <si>
    <t>মো: মুসআব উমাইর</t>
  </si>
  <si>
    <t>MD. MUSAB UMAIR</t>
  </si>
  <si>
    <t>মো:আব্দুর রহিম মজুমদার</t>
  </si>
  <si>
    <t>MD. ABDUR RAHIM MAJUMDAR</t>
  </si>
  <si>
    <t>SENVICE</t>
  </si>
  <si>
    <t>01814735260</t>
  </si>
  <si>
    <t>রওজাতুল জান্নাহ</t>
  </si>
  <si>
    <t>RAWJATUL ZANNAH</t>
  </si>
  <si>
    <t>STUDENT</t>
  </si>
  <si>
    <t>01941732273</t>
  </si>
  <si>
    <t>SRI-00182</t>
  </si>
  <si>
    <t>20191913138107577</t>
  </si>
  <si>
    <t>ব্লক: #সি, বাড়ি: ৪৫, সড়ক: ০২, আফতাবনগর, বাড্ডা, ঢাকা।</t>
  </si>
  <si>
    <t>গোরা গোরা, আমজাদ নগর, চৌদ্দগ্রাম, কুমিল্লা</t>
  </si>
  <si>
    <t>ISLAMIC INTERNATIONAL SCHOOL &amp; COLLAGE</t>
  </si>
  <si>
    <t>KG</t>
  </si>
  <si>
    <t>02</t>
  </si>
  <si>
    <t>01933326774</t>
  </si>
  <si>
    <t>nahimmojumdar86@gmail.com</t>
  </si>
  <si>
    <t>নিরব মজুমদার</t>
  </si>
  <si>
    <t>আব্দুল্লাহ আল জাওয়াদ তাসফিন</t>
  </si>
  <si>
    <t>ABDULLAH AL JAWAD TASHFIN</t>
  </si>
  <si>
    <t>মো: জাকির হোসেন</t>
  </si>
  <si>
    <t>MD. ZAKIR HOSSAIN</t>
  </si>
  <si>
    <t>আইনজিবী</t>
  </si>
  <si>
    <t>01982499827</t>
  </si>
  <si>
    <t>জান্নাতুর রাফিকা</t>
  </si>
  <si>
    <t>JANNATUR RAFIKA</t>
  </si>
  <si>
    <t>01988835360</t>
  </si>
  <si>
    <t>SRI-00661</t>
  </si>
  <si>
    <t>20122692006155106</t>
  </si>
  <si>
    <t>মুগদা 67/2/2, ঢাকা</t>
  </si>
  <si>
    <t>কালেম সার, ভোমর কান্দি, চান্দিনা, কুমিল্লা</t>
  </si>
  <si>
    <t>আইডিয়াল স্কুল মুগদা শাখা</t>
  </si>
  <si>
    <t>৭ম</t>
  </si>
  <si>
    <t>01742058900</t>
  </si>
  <si>
    <t>zakir.advocate@gmail.com</t>
  </si>
  <si>
    <t>রক্তের গ্রুপ ফাকা আছে</t>
  </si>
  <si>
    <t>মোঃ স্বাদ হুজাইফা</t>
  </si>
  <si>
    <t>MD Shad Hujaifa</t>
  </si>
  <si>
    <t>আবদুল জব্বার মৃধা</t>
  </si>
  <si>
    <t>MD Abdul Jabber Midha</t>
  </si>
  <si>
    <t>চাকুরী</t>
  </si>
  <si>
    <t>01744714851</t>
  </si>
  <si>
    <t>বিউটি খাতুন</t>
  </si>
  <si>
    <t>Beauty Khatun</t>
  </si>
  <si>
    <t>গৃহিণী</t>
  </si>
  <si>
    <t>SRI-00190</t>
  </si>
  <si>
    <t>কোনাপাড়া, যাত্রাবাড়ী, ঢাকা</t>
  </si>
  <si>
    <t xml:space="preserve">ধুলিয়া, বাউফল, </t>
  </si>
  <si>
    <t>পটুয়াখালী</t>
  </si>
  <si>
    <t>হলি চাইল্ড স্কুল</t>
  </si>
  <si>
    <t>01784161807</t>
  </si>
  <si>
    <t>রাহাত</t>
  </si>
  <si>
    <t xml:space="preserve">আরিফুর রহমান </t>
  </si>
  <si>
    <t>ARIFUR RAHMAN</t>
  </si>
  <si>
    <t xml:space="preserve">আমির হোসেন </t>
  </si>
  <si>
    <t>AMIR HOSEN</t>
  </si>
  <si>
    <t>কৃষক</t>
  </si>
  <si>
    <t>01760692505</t>
  </si>
  <si>
    <t>জেসমিন বেগম</t>
  </si>
  <si>
    <t>JESMIN BEGUM</t>
  </si>
  <si>
    <t xml:space="preserve">গৃহিনী </t>
  </si>
  <si>
    <t>01516505261</t>
  </si>
  <si>
    <t>SRI-00023</t>
  </si>
  <si>
    <t>9581278091</t>
  </si>
  <si>
    <t>১২/৬, পুরানা পল্টন লেন, ঢাকা</t>
  </si>
  <si>
    <t>হাসনাবাদ,খিলবাইছা,সদর</t>
  </si>
  <si>
    <t xml:space="preserve">ঢাকা কলেজ </t>
  </si>
  <si>
    <t xml:space="preserve">অনার্স ৪র্থ </t>
  </si>
  <si>
    <t xml:space="preserve">ইসলামের ইতিহাস ও সংস্কৃতি </t>
  </si>
  <si>
    <t>01866512752</t>
  </si>
  <si>
    <t>smarifur752@gmail.com</t>
  </si>
  <si>
    <t xml:space="preserve">সাইয়েদ আরিফুর রহমান </t>
  </si>
  <si>
    <t xml:space="preserve">Tahsin </t>
  </si>
  <si>
    <t>আব্দুল্লাহ আল জাইন মাসনুন</t>
  </si>
  <si>
    <t>ABDULLAH AL JAYEEN MASUM</t>
  </si>
  <si>
    <t>SRI-00660</t>
  </si>
  <si>
    <t>20152692006165354</t>
  </si>
  <si>
    <t>মহানগর আইডিয়ল স্কুল</t>
  </si>
  <si>
    <t>৪র্থ</t>
  </si>
  <si>
    <t>zakir.advocat@gmail.com</t>
  </si>
  <si>
    <t>রক্তের গ্রুপ নেই</t>
  </si>
  <si>
    <t xml:space="preserve">মাহমুদা ইসলাম তুবা </t>
  </si>
  <si>
    <t>Mahmuda Islam Tuba</t>
  </si>
  <si>
    <t>মোঃ মইনুল ইসলাম</t>
  </si>
  <si>
    <t>MD Moinul Islam</t>
  </si>
  <si>
    <t>চাকরি</t>
  </si>
  <si>
    <t>01741478800</t>
  </si>
  <si>
    <t>সালমা আক্তার</t>
  </si>
  <si>
    <t>Salma Akter</t>
  </si>
  <si>
    <t>01713826878</t>
  </si>
  <si>
    <t>SRI-00542</t>
  </si>
  <si>
    <t>20175611019121711</t>
  </si>
  <si>
    <t>৩৬/৩, স্মরনিকা আবাসিক এলাকা, ডগর মোড়া, সাভার, ঢাকা</t>
  </si>
  <si>
    <t>বাঘুটিয়া বেপারী পাড়া, চর বাঘুটিয়া, দৌলতপুর</t>
  </si>
  <si>
    <t>মানিকগঞ্জ</t>
  </si>
  <si>
    <t>জাকাল-ই-নুর দাখিল মাদ্রাস</t>
  </si>
  <si>
    <t>দ্বিতীয় শ্রেণী</t>
  </si>
  <si>
    <t>01</t>
  </si>
  <si>
    <t>mominullbb230303119@gmail.com</t>
  </si>
  <si>
    <t>শেখ ইফফাত আল ইসরা</t>
  </si>
  <si>
    <t>SHEIKH IFFAT AL ISRAA</t>
  </si>
  <si>
    <t>কে এম ইফতেখার</t>
  </si>
  <si>
    <t>K M IFTEKHAR</t>
  </si>
  <si>
    <t>SOFTWARE ENGINEER</t>
  </si>
  <si>
    <t>0171264368</t>
  </si>
  <si>
    <t>রোকেয়া চৌধুরী</t>
  </si>
  <si>
    <t>ROKEYA CHOUDHURY</t>
  </si>
  <si>
    <t>HOUSE WIFE</t>
  </si>
  <si>
    <t>01611264367</t>
  </si>
  <si>
    <t>SRI- 00025</t>
  </si>
  <si>
    <t>20152692045138351</t>
  </si>
  <si>
    <t>59 HEMENDRA DAS ROAD, DHAKA SADAR, SUTRAPUR, DHAKA.</t>
  </si>
  <si>
    <t>75 RASULPUR, DONIA, JATRABARI, DHAKA.</t>
  </si>
  <si>
    <t>SIDDHESWARI GRILS HIGH SCHOOL</t>
  </si>
  <si>
    <t>BANGLA VERSION</t>
  </si>
  <si>
    <t>01779006663</t>
  </si>
  <si>
    <t>01711264368</t>
  </si>
  <si>
    <t>iffat.al.israa@gmail.com</t>
  </si>
  <si>
    <t>sheikh.iffat.anisha</t>
  </si>
  <si>
    <t>মুনয়িম আহমেদ রাজ</t>
  </si>
  <si>
    <t>MUNIM AHMED RAJ</t>
  </si>
  <si>
    <t>আহম্মদ জোবায়ের নাইম</t>
  </si>
  <si>
    <t>AHMMED JUBAEER NAEM</t>
  </si>
  <si>
    <t>01614286797</t>
  </si>
  <si>
    <t>রাবেয়া বেগম</t>
  </si>
  <si>
    <t>RABIYA BEGUM</t>
  </si>
  <si>
    <t>01638036947</t>
  </si>
  <si>
    <t>SRI-00586</t>
  </si>
  <si>
    <t>বাড়ি: 265, কাঠালবাগান,কলাবাগান, ঢাকা</t>
  </si>
  <si>
    <t>মতলবপুর,খিলবাগিচা,লক্ষীপুর</t>
  </si>
  <si>
    <t>গবর্নমেন্ট সায়েন্স হাইস্কুল</t>
  </si>
  <si>
    <t>৮ম</t>
  </si>
  <si>
    <t>ক</t>
  </si>
  <si>
    <t>গানেও ভর্তি  হয়েছে  (জন্ম নিবন্ধন নম্বর ও রক্তের গ্রুপ দেয়নি)</t>
  </si>
  <si>
    <t>আব্দুর রহমান আল জাহিন</t>
  </si>
  <si>
    <t>ABDUR RAHMAN AL JAHIN</t>
  </si>
  <si>
    <t>মোঃ মনিরুজ্জামান</t>
  </si>
  <si>
    <t>MD. MONIRUZZAMAN</t>
  </si>
  <si>
    <t>01303968035</t>
  </si>
  <si>
    <t>মুসলিমা বিলকিস</t>
  </si>
  <si>
    <t>MUSLIMA BILKIS</t>
  </si>
  <si>
    <t>01741421828</t>
  </si>
  <si>
    <t>SRI-00175</t>
  </si>
  <si>
    <t>20172616882136490</t>
  </si>
  <si>
    <t>৫৬/৬/১ উত্তর মুগদা, বসাবো, সবুজবাগ, ঢাকা</t>
  </si>
  <si>
    <t>মিরের গাঁও, কৌলতিয়া, গাজীপুর সদর।</t>
  </si>
  <si>
    <t>গাজীপুর</t>
  </si>
  <si>
    <t>AB+</t>
  </si>
  <si>
    <t xml:space="preserve">মারকাজুল ফুরকান আইডিয়াল মাদরাসা </t>
  </si>
  <si>
    <t>প্রথম</t>
  </si>
  <si>
    <t>আইডি - ১১১১৪</t>
  </si>
  <si>
    <t>muslemabilkis@gmail.com</t>
  </si>
  <si>
    <t>Muslema Bilkis</t>
  </si>
  <si>
    <t>Rahat</t>
  </si>
  <si>
    <t>ক্বিরাত বিভাগেও ভর্তি  হয়েছে  (জন্ম নিবন্ধন নম্বর ও রক্তের গ্রুপ দেয়নি)</t>
  </si>
  <si>
    <t>মো: আহসান হাবিব</t>
  </si>
  <si>
    <t>MD. AHOSAN HABIB</t>
  </si>
  <si>
    <t>মো: রবিউল ইসলাম</t>
  </si>
  <si>
    <t>MD. RABIUL ISLAM</t>
  </si>
  <si>
    <t>01722762901</t>
  </si>
  <si>
    <t>মোসা: আশরাফন বেগম</t>
  </si>
  <si>
    <t>MST. ASRAFON BEGOM</t>
  </si>
  <si>
    <t>01322560598</t>
  </si>
  <si>
    <t>SRI-00394</t>
  </si>
  <si>
    <t>20056417543014768</t>
  </si>
  <si>
    <t>সাহাবাজপুর, নিশ্চিন্তপুর, সাপাহার, নওগাঁ</t>
  </si>
  <si>
    <t>সুবরাজপুর, সুবরাজপুর, পত্নীতলা, নওগাঁ</t>
  </si>
  <si>
    <t>নওগাঁ</t>
  </si>
  <si>
    <t>গাঙ্গুরিয়া ডিগ্রী কলেজ</t>
  </si>
  <si>
    <t>এইস এস সি</t>
  </si>
  <si>
    <t>মানবিক</t>
  </si>
  <si>
    <t>01779541653</t>
  </si>
  <si>
    <t>Ahsan habib</t>
  </si>
  <si>
    <t>আবু আহনাফ তাফসির</t>
  </si>
  <si>
    <t>ABU AHNAF TAFSIR</t>
  </si>
  <si>
    <t>মোঃ আশরাফুল ইসলাম</t>
  </si>
  <si>
    <t>MD. ASRAFUL ISLAM</t>
  </si>
  <si>
    <t>01737539326</t>
  </si>
  <si>
    <t>মোছাঃ তাহেরা সুলতানা</t>
  </si>
  <si>
    <t>MST TAHERA SULTANA</t>
  </si>
  <si>
    <t>01773755385</t>
  </si>
  <si>
    <t>SRI-00100</t>
  </si>
  <si>
    <t>20208512784110373</t>
  </si>
  <si>
    <t>০৬/০৪, চাঁদ উদ্যান হাউজিং, মোহাম্মদপুর, ঢাকা</t>
  </si>
  <si>
    <t>হাসানপুর, আব্দুল্ল্যাপুর, পীরগঞ্জ, রংপুর</t>
  </si>
  <si>
    <t>রংপুর</t>
  </si>
  <si>
    <t>উইজডম ইন্টারন্যাশনাল স্কুল</t>
  </si>
  <si>
    <t>Rose</t>
  </si>
  <si>
    <t>itasraful@gmail.com</t>
  </si>
  <si>
    <t>https://www.facebook.com/itasraful/</t>
  </si>
  <si>
    <t>শিক্ষার্থীর নাম জন্মনিবন্ধন অনুযায়ী সংশোধন করা হয়েছে</t>
  </si>
  <si>
    <t>সাইফুল</t>
  </si>
  <si>
    <t>মোবাশ্বিরা মাহবুব</t>
  </si>
  <si>
    <t>MOBASSHIRA MAHBUB</t>
  </si>
  <si>
    <t>মোঃ মাহবুব রহমান</t>
  </si>
  <si>
    <t>MD MAHBUB RAHMAN</t>
  </si>
  <si>
    <t>চাকুরীজীবী</t>
  </si>
  <si>
    <t>01791349807</t>
  </si>
  <si>
    <t xml:space="preserve">তানজিয়া তাহের </t>
  </si>
  <si>
    <t>TANZIA TAHERA</t>
  </si>
  <si>
    <t>01400036516</t>
  </si>
  <si>
    <t>SRI-00504</t>
  </si>
  <si>
    <t>20204418088120669</t>
  </si>
  <si>
    <t xml:space="preserve">৩১/১, ব্লক-সি, </t>
  </si>
  <si>
    <t>শ্রীরামপুর, শফিপুর, শৈলকূপা</t>
  </si>
  <si>
    <t>ঝিনাইদহ</t>
  </si>
  <si>
    <t>নিবরাস মাদরাসা</t>
  </si>
  <si>
    <t>প্লে</t>
  </si>
  <si>
    <t>01705585660</t>
  </si>
  <si>
    <t>tanziatahera94@gmail.com</t>
  </si>
  <si>
    <t>https://www.facebook.com/mobasshira.mahbub.2025</t>
  </si>
  <si>
    <t>গান, আবৃত্তি। আর বয়স ভুল ছিল, জন্মনিবন্ধন অনুযায়ী ঠিক করা হয়েছে</t>
  </si>
  <si>
    <t>আবৃত্তি ও উপস্থাপনা</t>
  </si>
  <si>
    <t>আব্দুল্লাহ তাহের রিহান</t>
  </si>
  <si>
    <t>ABDULLAH TAHER RIHAN</t>
  </si>
  <si>
    <t>তাহের রাহুল</t>
  </si>
  <si>
    <t>TAHER RAHUL</t>
  </si>
  <si>
    <t>01685839430</t>
  </si>
  <si>
    <t>ফারহানা রুমি</t>
  </si>
  <si>
    <t>FARHANA RUME</t>
  </si>
  <si>
    <t>01633084098</t>
  </si>
  <si>
    <t>SRI-00364</t>
  </si>
  <si>
    <t>20192692015103134</t>
  </si>
  <si>
    <t>বি-১, ৯০২, ইস্টার্ন পয়েন্ট, শান্তিনগর, ঢাকা - ১২০৫</t>
  </si>
  <si>
    <t>বালুয়াকান্দি, হাসনাবাদ, রায়পুরা</t>
  </si>
  <si>
    <t>নরসিংদী</t>
  </si>
  <si>
    <t>স্পেকট্রাম ইন্টারন্যাশনাল স্কুল</t>
  </si>
  <si>
    <t>কেজি-১</t>
  </si>
  <si>
    <t>মায়ের নাম ঠিক করা হয়েছে জন্মনিবন্ধন অনুযায়ী</t>
  </si>
  <si>
    <t>আফিফ আলামিন</t>
  </si>
  <si>
    <t>AFIF AL ALAMIN</t>
  </si>
  <si>
    <t>মোহাম্মদ আমিনুল ইসলাম</t>
  </si>
  <si>
    <t>MOHAMMAD AMINUL ISLAM</t>
  </si>
  <si>
    <t>01712616665</t>
  </si>
  <si>
    <t>মোসাম্মত রোকেয়া বেগম</t>
  </si>
  <si>
    <t>MOSAMMAT ROKEYA BEGUM</t>
  </si>
  <si>
    <t>01715026137</t>
  </si>
  <si>
    <t>SRI-00350</t>
  </si>
  <si>
    <t>20053090640054244</t>
  </si>
  <si>
    <t>৫৭/১৪/ডি কলাবাগান, ডলফিন গলি, ঢাকা</t>
  </si>
  <si>
    <t>৫৭/১৪/ডি কলাবাগান, ডলফিন গলি</t>
  </si>
  <si>
    <t>ঢাকা সিটি কলেজ</t>
  </si>
  <si>
    <t>দ্বাদশ</t>
  </si>
  <si>
    <t>01915026137</t>
  </si>
  <si>
    <t>abuarnya.73@gmail.com</t>
  </si>
  <si>
    <t>আরিশা মুসাররাত</t>
  </si>
  <si>
    <t>Arisha Musarrat</t>
  </si>
  <si>
    <t>Mohammad Aminul Islam</t>
  </si>
  <si>
    <t>মোছাম্মত রকেয়া বেগম</t>
  </si>
  <si>
    <t>Mosammat Rokeya Begum</t>
  </si>
  <si>
    <t>SRI-00656</t>
  </si>
  <si>
    <t>৫৭/১/ডি, ডলফিন গলি, কলাবাগান, ঢাকা</t>
  </si>
  <si>
    <t>৫৭/১/ডি, ডলফিন গলি, কলাবাগান</t>
  </si>
  <si>
    <t>স্কলার্স স্কুল এন্ড কলেজ</t>
  </si>
  <si>
    <t>abuarmya.73@gmail.com</t>
  </si>
  <si>
    <t>তাশফিক আহসান তালহা</t>
  </si>
  <si>
    <t>TASHFIQ AHSAN TALHA</t>
  </si>
  <si>
    <t xml:space="preserve">আশফাক আহসান চৌধুরী </t>
  </si>
  <si>
    <t>ASHFAQ AHSAN CHOWDURY</t>
  </si>
  <si>
    <t>01615703577</t>
  </si>
  <si>
    <t xml:space="preserve">ফজিলাতুন নেছা </t>
  </si>
  <si>
    <t xml:space="preserve">FAZILATUN NESSA </t>
  </si>
  <si>
    <t>ডিজাইনার/ব্যবসা</t>
  </si>
  <si>
    <t>01715703577</t>
  </si>
  <si>
    <t>SRI-00591</t>
  </si>
  <si>
    <t>২৯, ২১৬/১/এ, ভুইয়াপাড়া,খিলগাঁও,ঢাকা</t>
  </si>
  <si>
    <t xml:space="preserve">চৌধুরী ভিলা, সরখাল,মুলপাড়া,ফরিদগঞ্জ </t>
  </si>
  <si>
    <t>talhayt8989@gmail.com</t>
  </si>
  <si>
    <t>https://www.facebook.com/fazitun.inc</t>
  </si>
  <si>
    <t xml:space="preserve">অভিনয়ে আছে,,,,,,,(ছবি এবং জন্ম নিবন্ধন নাম্বার দেয়নি) </t>
  </si>
  <si>
    <t>Ahsan al jawad</t>
  </si>
  <si>
    <t xml:space="preserve">গান + আবৃত্তি, পুরাতন (জন্ম নিবন্ধন নাম্বার দেয়নি) </t>
  </si>
  <si>
    <t>আয়েশা সিদ্দিকা তুবা</t>
  </si>
  <si>
    <t>AYESHA SIDDIQA TUBA</t>
  </si>
  <si>
    <t>SRI-00610</t>
  </si>
  <si>
    <t>নিবরাস তাহফিজুল কুরআন মাদ্রাসা</t>
  </si>
  <si>
    <t>01833156851</t>
  </si>
  <si>
    <t>ashfaq.bd.48@gmail.com</t>
  </si>
  <si>
    <t xml:space="preserve">পুরাতন, শুধু আবৃত্তি(জন্ম নিবন্ধন নাম্বার দেয়নি) </t>
  </si>
  <si>
    <t xml:space="preserve">নাঈম ইসলাম সাবিত </t>
  </si>
  <si>
    <t>NAEEM ISLAM SABIT</t>
  </si>
  <si>
    <t xml:space="preserve">মোঃ ইকবাল </t>
  </si>
  <si>
    <t>MD. IQBAL</t>
  </si>
  <si>
    <t>01731599023</t>
  </si>
  <si>
    <t xml:space="preserve">মিতু </t>
  </si>
  <si>
    <t xml:space="preserve">MITU </t>
  </si>
  <si>
    <t>01317455482</t>
  </si>
  <si>
    <t>SRI-00667</t>
  </si>
  <si>
    <t>20125115859106176</t>
  </si>
  <si>
    <t>৪১/১৭,বক্রনগর আবাবিল টাওয়ার,সারুলিয়া,ডেমরা,ঢাকা</t>
  </si>
  <si>
    <t>উত্তর কেরোয়া বসুপাটুয়ারী বাড়ি,হাজিবাড়ি,রায়পুর</t>
  </si>
  <si>
    <t xml:space="preserve">আহসানু আসালা একাডেমী </t>
  </si>
  <si>
    <t>iqbalhossain64737@gmail.com</t>
  </si>
  <si>
    <t xml:space="preserve">ছবি দেয়নি </t>
  </si>
  <si>
    <t>নুসাইর আনাম নাফিজ</t>
  </si>
  <si>
    <t>NUSAIR ANAM NAFIZ</t>
  </si>
  <si>
    <t xml:space="preserve">মো: নজরুল ইসলাম </t>
  </si>
  <si>
    <t>MD. NAZRUL ISLAM</t>
  </si>
  <si>
    <t>চাকল</t>
  </si>
  <si>
    <t>01736639993</t>
  </si>
  <si>
    <t xml:space="preserve">মোসা: আছিয়া পারভীন </t>
  </si>
  <si>
    <t>MST. ASIA PARVIN</t>
  </si>
  <si>
    <t>01765388017</t>
  </si>
  <si>
    <t>SRI-00547</t>
  </si>
  <si>
    <t>20176911535111273</t>
  </si>
  <si>
    <t>হরিরামপুর, দারুসসালাম, মিরপুর-১,ঢাকা</t>
  </si>
  <si>
    <t>চরগড়গড়ী, বাদের বাদা,ঈশ্বরদী, পাবনা।</t>
  </si>
  <si>
    <t>পাবনা</t>
  </si>
  <si>
    <t>মারকাযু ফয়জিল কুরআন আল ইসলামী</t>
  </si>
  <si>
    <t>নাজেরা</t>
  </si>
  <si>
    <t>01876266385</t>
  </si>
  <si>
    <t>01896313068</t>
  </si>
  <si>
    <t>নাম ভুল ছিল, জন্মনিবন্ধন দেখে ঠিক করা হইছে</t>
  </si>
  <si>
    <t xml:space="preserve">মহিউদ্দিন আজাদ </t>
  </si>
  <si>
    <t xml:space="preserve">মোঃ সাইফুল্লাহ সাদি </t>
  </si>
  <si>
    <t>MD. SAIFULLAH SADI</t>
  </si>
  <si>
    <t xml:space="preserve">মোঃ বাবুল মিয়া </t>
  </si>
  <si>
    <t>MD. BABUL MIA</t>
  </si>
  <si>
    <t>01838394560</t>
  </si>
  <si>
    <t xml:space="preserve">মোছাঃ সাহিদা আক্তার </t>
  </si>
  <si>
    <t>MST. SHAHIDA AKTER</t>
  </si>
  <si>
    <t>01611021161</t>
  </si>
  <si>
    <t>SRI-00265</t>
  </si>
  <si>
    <t>20083313694065470</t>
  </si>
  <si>
    <t xml:space="preserve">শ্রীপুর,ধামসোনা,আসুলিয়া,ঢাকা </t>
  </si>
  <si>
    <t xml:space="preserve">বীর উজুলী,টোক,কাপাসিয়া </t>
  </si>
  <si>
    <t>জামিয়া রাহ্মানিয়া আরাবিয়া</t>
  </si>
  <si>
    <t xml:space="preserve">তাকলীম(মাস্টার্স) </t>
  </si>
  <si>
    <t>01842059248</t>
  </si>
  <si>
    <t>01912636182</t>
  </si>
  <si>
    <t>saifullahsadi34@gmail.com</t>
  </si>
  <si>
    <t>Md. Saifullah Sadi</t>
  </si>
  <si>
    <t>আয়ান ইবতিহাজ</t>
  </si>
  <si>
    <t>AYAAN IBTIHAAJ</t>
  </si>
  <si>
    <t>মো: ইব্রাহিম খলিলুল্লাহ</t>
  </si>
  <si>
    <t>MD. IBRAHIM KHALILULLAH</t>
  </si>
  <si>
    <t>চিকিৎসক</t>
  </si>
  <si>
    <t>01719614325</t>
  </si>
  <si>
    <t>খালেদা আক্তার</t>
  </si>
  <si>
    <t>KHALEDA AKTAR</t>
  </si>
  <si>
    <t>01710483825</t>
  </si>
  <si>
    <t>SRI-00157</t>
  </si>
  <si>
    <t>20162692021096563</t>
  </si>
  <si>
    <t>শাহবাগ, ময়মনসিংহ রোড, জি.পি.ও.-১০০০, ঢাকা</t>
  </si>
  <si>
    <t>মির্জাপুর, বিনোদপুর, রাজশাহী</t>
  </si>
  <si>
    <t>রাজশাহী</t>
  </si>
  <si>
    <t>AVERROES INTERNATIONAL SCHOOL</t>
  </si>
  <si>
    <t>STANDARD-3</t>
  </si>
  <si>
    <t>ENGLISH MEDIUM</t>
  </si>
  <si>
    <t>ibrahimbd805@gmail.com</t>
  </si>
  <si>
    <t>আব্দুল্লাহ সাদ</t>
  </si>
  <si>
    <t>ABDULLAH SAAD</t>
  </si>
  <si>
    <t xml:space="preserve"> মোহাম্মদ রফিকুল ইসলাম</t>
  </si>
  <si>
    <t>MD RAFIQUL ISLAM</t>
  </si>
  <si>
    <t>01711200670</t>
  </si>
  <si>
    <t>ফয়জুন্নেসা সুরাইয়া</t>
  </si>
  <si>
    <t>FAIZUNNESA SURAIYA</t>
  </si>
  <si>
    <t>01687050323</t>
  </si>
  <si>
    <t>SRI-00595</t>
  </si>
  <si>
    <t>আফতাব নগর, রামপুরা, বাড্ডা, ঢাকা</t>
  </si>
  <si>
    <t>পরিকোট, বাংগড্ডা বাজার, নাদল কোট</t>
  </si>
  <si>
    <t>AB−</t>
  </si>
  <si>
    <t>মাদ্রাসাতুল মানার</t>
  </si>
  <si>
    <t>৩য় শ্রেণী</t>
  </si>
  <si>
    <t>হিফজ</t>
  </si>
  <si>
    <t>ahmadsabit591@gmail.com</t>
  </si>
  <si>
    <t>Suraiya.islam.37625843</t>
  </si>
  <si>
    <t>ইনায়া আফরিন মুবিনা</t>
  </si>
  <si>
    <t>INAAYA AFRIN MUBINA</t>
  </si>
  <si>
    <t>মো: ইমরান হোসেন</t>
  </si>
  <si>
    <t>MD. IMRAN HOSSAIN</t>
  </si>
  <si>
    <t>01626827925</t>
  </si>
  <si>
    <t>মারিয়াম আক্তার</t>
  </si>
  <si>
    <t>MARIUM AKTAR</t>
  </si>
  <si>
    <t>01835517610</t>
  </si>
  <si>
    <t>SRI-00369</t>
  </si>
  <si>
    <t>বাড়ি: ১৭৮, মুগদাহ, ঢাকা</t>
  </si>
  <si>
    <t>কোনাউর, বাইরখন্ড, নবীনগর, ব্রাহ্মণবাড়িয়া</t>
  </si>
  <si>
    <t>ব্রাহ্মণবাড়িয়া</t>
  </si>
  <si>
    <t>ইশা আতুল ইসলাম মহিলা আলিম মাদরাসা</t>
  </si>
  <si>
    <t>৩য়</t>
  </si>
  <si>
    <t>aktermarium98@gmail.com</t>
  </si>
  <si>
    <t>mariumakter1998</t>
  </si>
  <si>
    <t xml:space="preserve">আবু বকর ছিদ্দিক </t>
  </si>
  <si>
    <t>ABU BAKAR SIDDQUE</t>
  </si>
  <si>
    <t xml:space="preserve">মোফাজ্জল হোসেন (শামীম) </t>
  </si>
  <si>
    <t>MOFAZZAL HOSSAIN (SHAMIM)</t>
  </si>
  <si>
    <t xml:space="preserve">কৃষক </t>
  </si>
  <si>
    <t>01881866416</t>
  </si>
  <si>
    <t>হনুফা বেগম</t>
  </si>
  <si>
    <t xml:space="preserve">HANUFA BEGUM </t>
  </si>
  <si>
    <t>01775756270</t>
  </si>
  <si>
    <t>SRI-00129</t>
  </si>
  <si>
    <t>20051317682023371</t>
  </si>
  <si>
    <t>ঘোড়ধারী,তুষপুর,মতলব (দ:),চাঁদপুর।</t>
  </si>
  <si>
    <t>ঐ</t>
  </si>
  <si>
    <t xml:space="preserve">কালিয়াইশ ইসলামিয়া ফাজিল মাদ্রাসা </t>
  </si>
  <si>
    <t>ফাজিল ১ম</t>
  </si>
  <si>
    <t xml:space="preserve">ইসলামের ইতিহাস </t>
  </si>
  <si>
    <t>01798514409</t>
  </si>
  <si>
    <t>abubokorsiddikhgh@gmail.com</t>
  </si>
  <si>
    <t>Abu Bakar Siddique.</t>
  </si>
  <si>
    <t>ছবি দেওয়া নেই,পিতার নাম ভুল</t>
  </si>
  <si>
    <t>মো: ফজলে রাব্বী</t>
  </si>
  <si>
    <t xml:space="preserve">MD. FOZLE RABBI </t>
  </si>
  <si>
    <t xml:space="preserve">হুমায়ুন কবির </t>
  </si>
  <si>
    <t xml:space="preserve">HUMAN KABIR </t>
  </si>
  <si>
    <t>মৃত</t>
  </si>
  <si>
    <t>01601022920</t>
  </si>
  <si>
    <t xml:space="preserve">রাহিমা বেগম </t>
  </si>
  <si>
    <t xml:space="preserve">RAHIMA BEGUM </t>
  </si>
  <si>
    <t>SRI-00061</t>
  </si>
  <si>
    <t>পল্টন, ঢাকা</t>
  </si>
  <si>
    <t xml:space="preserve">মেহেলদার কোট,মনোহরগুঞ্জ,কুমিল্লা </t>
  </si>
  <si>
    <t xml:space="preserve">শাহ শরীফ ডিগ্রি কলেজ </t>
  </si>
  <si>
    <t>প্রথম বর্ষ</t>
  </si>
  <si>
    <t>01890412434</t>
  </si>
  <si>
    <t xml:space="preserve">ছবি নেই, </t>
  </si>
  <si>
    <t>মুসা আহনাফ</t>
  </si>
  <si>
    <t>MUSA AHNAF</t>
  </si>
  <si>
    <t>মো: আল-আমিন</t>
  </si>
  <si>
    <t>MD. AL-AMIN</t>
  </si>
  <si>
    <t>ব্যাবসা</t>
  </si>
  <si>
    <t>0178887000</t>
  </si>
  <si>
    <t>ফাতেমা মনি</t>
  </si>
  <si>
    <t>FATEMA MONI</t>
  </si>
  <si>
    <t>01778180282</t>
  </si>
  <si>
    <t>SRI-00215</t>
  </si>
  <si>
    <t>20163513290029542</t>
  </si>
  <si>
    <t>পশ্চিম যাত্রাবাড়ী, ১০/এ, পশ্চিম যাত্রাবাড়ী, সূত্রাপুর, যাত্রাবাড়ী, ঢাকা</t>
  </si>
  <si>
    <t>পশ্চিম যাত্রাবাড়ী, সূত্রাপুর, যাত্রাবাড়ী, ঢাকা</t>
  </si>
  <si>
    <t>দারুন নাজাত কামিল মাদরাসা</t>
  </si>
  <si>
    <t>taslimamukta586@gmail.com</t>
  </si>
  <si>
    <t>মিফতাহুল জান্নাত লিয়ানা</t>
  </si>
  <si>
    <t>MIFTAHUL JANNAT LIYANA</t>
  </si>
  <si>
    <t xml:space="preserve">মো: মাইন উদ্দিন </t>
  </si>
  <si>
    <t xml:space="preserve">MD. MAYEN UDDIN </t>
  </si>
  <si>
    <t>01728790816</t>
  </si>
  <si>
    <t xml:space="preserve">সোনিয়া আক্তার </t>
  </si>
  <si>
    <t>SONYA AKTER</t>
  </si>
  <si>
    <t>গৃহীণী</t>
  </si>
  <si>
    <t>01949500977</t>
  </si>
  <si>
    <t>SRI-00091</t>
  </si>
  <si>
    <t>20180619463124345</t>
  </si>
  <si>
    <t xml:space="preserve">নয়ানিচালা,  উত্তরা-১২৩০,তুরাগ, ঢাকা </t>
  </si>
  <si>
    <t xml:space="preserve">যোগীরকান্দা, উজিরপুর,বরিশাল </t>
  </si>
  <si>
    <t xml:space="preserve">ভাটুলিয়া মহিলা দাখিল মাদ্রাসা </t>
  </si>
  <si>
    <t>২য় শ্রেণি</t>
  </si>
  <si>
    <t xml:space="preserve">নূরানী </t>
  </si>
  <si>
    <t>sonyaakter253@gmail.com</t>
  </si>
  <si>
    <t xml:space="preserve">খাদিজা সুলতানা নামিরা </t>
  </si>
  <si>
    <t>KHADIJA SULTANA NAMIRA</t>
  </si>
  <si>
    <t xml:space="preserve">আব্দুর রহমান শেখ </t>
  </si>
  <si>
    <t>ABDUR RAHMAN SHEIKH</t>
  </si>
  <si>
    <t>01722284056</t>
  </si>
  <si>
    <t xml:space="preserve">ফেরদাউসি নিপা </t>
  </si>
  <si>
    <t>FERDAUSI NIPA</t>
  </si>
  <si>
    <t xml:space="preserve">শিক্ষিকা </t>
  </si>
  <si>
    <t>01988068163</t>
  </si>
  <si>
    <t>SRI-00372</t>
  </si>
  <si>
    <t>20193515113522945</t>
  </si>
  <si>
    <t>১২৯,গুলশান নিকেতন,গুলশান ১, ঢাকা-১২১২</t>
  </si>
  <si>
    <t xml:space="preserve">বড় দক্ষিন পাড়া, উনশিয়া-৮,কোতালীপাড়া </t>
  </si>
  <si>
    <t xml:space="preserve">ইসলামিক ইন্টারন্যাশনাল স্কুল </t>
  </si>
  <si>
    <t>kg-1</t>
  </si>
  <si>
    <t xml:space="preserve">Ahsan al jawad mahi   </t>
  </si>
  <si>
    <t xml:space="preserve">MD.MAYEN UDDIN </t>
  </si>
  <si>
    <t xml:space="preserve">নয়ানিচালা,উত্তরা-১২৩০,তুরাগ,ঢাকা। </t>
  </si>
  <si>
    <t xml:space="preserve">যোগীর কান্দা, উজির পুর,বরিশাল। </t>
  </si>
  <si>
    <t xml:space="preserve">আহমাদ যাইফুল্লাহ উমাইর </t>
  </si>
  <si>
    <t>AHMAD ZAIFULLAH UMAIR</t>
  </si>
  <si>
    <t xml:space="preserve">আহম্মেদ হোসাইন সাব্বির </t>
  </si>
  <si>
    <t>AHMMED HOSSAIN SABBIR</t>
  </si>
  <si>
    <t>01300728243</t>
  </si>
  <si>
    <t xml:space="preserve">আসমা আকতার </t>
  </si>
  <si>
    <t xml:space="preserve">ASMA AKTER </t>
  </si>
  <si>
    <t>01718440958</t>
  </si>
  <si>
    <t>SRI-00109</t>
  </si>
  <si>
    <t>20182692020147660</t>
  </si>
  <si>
    <t xml:space="preserve">A/7,ছায়াবীথি হাউজিং,মধ্য বাসাবো,সবুজবাগ,ঢাকা </t>
  </si>
  <si>
    <t xml:space="preserve">৬/৪,সেগুন বাগিচা </t>
  </si>
  <si>
    <t xml:space="preserve">ইসলামিক ইন্টারন্যাশনাল স্কুল,আফতাবনগর </t>
  </si>
  <si>
    <t>আহনাফ হক সাফওয়ান</t>
  </si>
  <si>
    <t>AHNAF HAQUE SAFWAN</t>
  </si>
  <si>
    <t>মো: আইনুল হক</t>
  </si>
  <si>
    <t>MD. AINUL HAQUE</t>
  </si>
  <si>
    <t>SERVICE</t>
  </si>
  <si>
    <t>01713850350</t>
  </si>
  <si>
    <t>সুমাইয়া খাতুন</t>
  </si>
  <si>
    <t>SUMAYA KHATUN</t>
  </si>
  <si>
    <t>01773077725</t>
  </si>
  <si>
    <t>SRI-00136</t>
  </si>
  <si>
    <t>আফতাব নগর, বাড্ডা, বাড্ডা, ঢাকা</t>
  </si>
  <si>
    <t>দেহন, মটরা হাট, ঠাকুরগাঁও</t>
  </si>
  <si>
    <t>ঠাকুরগাঁও</t>
  </si>
  <si>
    <t>মাদ্রাসাতুসসুন্নাহ</t>
  </si>
  <si>
    <t>0124096</t>
  </si>
  <si>
    <t>mdainul@gmail.com</t>
  </si>
  <si>
    <t>নওরীন নাওয়ার</t>
  </si>
  <si>
    <t>NOREEN NAWAR</t>
  </si>
  <si>
    <t>মুহাম্মদ আনোয়ার হোসাইন</t>
  </si>
  <si>
    <t xml:space="preserve">MOHAMMAD ANOWER HOSSAIN </t>
  </si>
  <si>
    <t>01817017325</t>
  </si>
  <si>
    <t>মাহমুদা ফেরদাউস</t>
  </si>
  <si>
    <t xml:space="preserve">MAHMUDA FERDOUS </t>
  </si>
  <si>
    <t>01836313434</t>
  </si>
  <si>
    <t>SRI-00145</t>
  </si>
  <si>
    <t>20173025010134065</t>
  </si>
  <si>
    <t>খিলগাঁও, মুগদা,ঢাকা</t>
  </si>
  <si>
    <t>জায়লষ্কর, দাগনভূইয়া, ফেনি</t>
  </si>
  <si>
    <t>ফেনী</t>
  </si>
  <si>
    <t xml:space="preserve">মদিনবাগ কিন্ডার গার্ডেন এন্ড স্কুল </t>
  </si>
  <si>
    <t>২ শ্রেণি</t>
  </si>
  <si>
    <t>ইউসারাহ মাহমুদ</t>
  </si>
  <si>
    <t>YOUSARAH MAHMUD</t>
  </si>
  <si>
    <t>মো: গোলাম মাহমুদ</t>
  </si>
  <si>
    <t>MD. GOLAM MAHMUD</t>
  </si>
  <si>
    <t>আইনজীবী</t>
  </si>
  <si>
    <t>01718077215</t>
  </si>
  <si>
    <t>মোছা: হোসনেআরা বানু</t>
  </si>
  <si>
    <t>MST. HOSNERA BANU</t>
  </si>
  <si>
    <t>01720334194</t>
  </si>
  <si>
    <t>SRI-00293</t>
  </si>
  <si>
    <t>20172692020095798</t>
  </si>
  <si>
    <t>সেগুনবাগিচা, বাড়ি:73, কাজী মোতাহার হোসেন সড়ক, সুবাস্তু তাজ ভিলা, ফ্লাট নং: ৮/সি-২</t>
  </si>
  <si>
    <t>দেওয়ানের খামার, ভূরঙ্গামারী, ভূরগামারী, কুড়িগ্রাম</t>
  </si>
  <si>
    <t>কুড়িগ্রাম</t>
  </si>
  <si>
    <t>মানারাত ঢাকা ইন্টারঃ স্কুল এন্ড কলেজ</t>
  </si>
  <si>
    <t>২য়</t>
  </si>
  <si>
    <t>jurisadequity@gmail.com</t>
  </si>
  <si>
    <t>Hosneara Banu</t>
  </si>
  <si>
    <t xml:space="preserve">মো: সাজেদুর রহমান </t>
  </si>
  <si>
    <t xml:space="preserve">SAJEEDUR RAHMAN </t>
  </si>
  <si>
    <t xml:space="preserve">মো: হাফিজুর রহমান </t>
  </si>
  <si>
    <t xml:space="preserve">MD. HAFIZUR RAHMAN </t>
  </si>
  <si>
    <t>01933336420</t>
  </si>
  <si>
    <t xml:space="preserve">সালমা আক্তার </t>
  </si>
  <si>
    <t xml:space="preserve">SALMA AKTER </t>
  </si>
  <si>
    <t>01308494255</t>
  </si>
  <si>
    <t>SRI-00203</t>
  </si>
  <si>
    <t>2010692019093003</t>
  </si>
  <si>
    <t xml:space="preserve">খিলগাঁও, ঢাকা </t>
  </si>
  <si>
    <t xml:space="preserve">গোপ গ্রাম,জোডপাড়া,খোফসা,কুষ্টিয়া। </t>
  </si>
  <si>
    <t xml:space="preserve">ফয়জুর রহমান আইডিয়াল ইনস্টিটিউট </t>
  </si>
  <si>
    <t>01717707022</t>
  </si>
  <si>
    <t>ছবি দেওয়া নেই</t>
  </si>
  <si>
    <t>আইনজীবি</t>
  </si>
  <si>
    <t>MST. HOSNEARA BANU</t>
  </si>
  <si>
    <t>সেগুনবাগিচা, বাড়ি: ৭৩, কাজী মোতাহার হোসেন সড়ক,  সুবাস্তু তাজ ভিরা, ফ্লাট নং: ৮সি/২২</t>
  </si>
  <si>
    <t>দেওয়ানের খামার, ভূরুঙ্গামারী, ভূরুঙ্গামারী, কুড়িগ্রাম</t>
  </si>
  <si>
    <t>মানারাত ঢাকা ইন্টাঃ স্কুল এন্ড কলেজ</t>
  </si>
  <si>
    <t>jurisandequity@gmail.com</t>
  </si>
  <si>
    <t>সংগিত বিভাগেও ভর্তি হয়েছে</t>
  </si>
  <si>
    <t>মো: আদ্রিশ আল জাইয়ান</t>
  </si>
  <si>
    <t>ADRISH AL ZAYAN</t>
  </si>
  <si>
    <t>মো: আব্দুল্লাহ আল ফজলে রাব্বী</t>
  </si>
  <si>
    <t>MD. ABDULLAH AL FAZLAY RABBI</t>
  </si>
  <si>
    <t>ENGINEER</t>
  </si>
  <si>
    <t>01719460044</t>
  </si>
  <si>
    <t>মারিয়ম জামিলা</t>
  </si>
  <si>
    <t>MARIOM JAMILA</t>
  </si>
  <si>
    <t>গ্রহিণী</t>
  </si>
  <si>
    <t>01721406241</t>
  </si>
  <si>
    <t>SRI-00133</t>
  </si>
  <si>
    <t>20216414754115496</t>
  </si>
  <si>
    <t>মিরপুর ১৩, বাড়ি: B-5, সড়ক: 13, মিরপুর, ঢাকা</t>
  </si>
  <si>
    <t>EMPERYAN INT. SCHOOL</t>
  </si>
  <si>
    <t>NURSERY</t>
  </si>
  <si>
    <t>ফাতিহা নুসাইবা</t>
  </si>
  <si>
    <t>FATIHA NUSAIBA</t>
  </si>
  <si>
    <t>এম এ ইউছুফ</t>
  </si>
  <si>
    <t>M.A.YOUSUF</t>
  </si>
  <si>
    <t>01611050467</t>
  </si>
  <si>
    <t xml:space="preserve">আখি আক্তার </t>
  </si>
  <si>
    <t>AKHI AKTER</t>
  </si>
  <si>
    <t>01917073885</t>
  </si>
  <si>
    <t>SRI-00352</t>
  </si>
  <si>
    <t>20206823703104604</t>
  </si>
  <si>
    <t>শাহিন বাগ, তেজগাঁও, ঢাকা</t>
  </si>
  <si>
    <t xml:space="preserve">চন্দন বাড়ী, মনোহরদী,নরসিংদী </t>
  </si>
  <si>
    <t xml:space="preserve">আর রউফ মহিলা মাদ্রাসা </t>
  </si>
  <si>
    <t>6/27/0254</t>
  </si>
  <si>
    <t>আব্দুর রহমান লাবিব</t>
  </si>
  <si>
    <t>ABDUR RAHMAN LABIB</t>
  </si>
  <si>
    <t>মো: হামিদুর রহমান</t>
  </si>
  <si>
    <t>MD. HAMIDUR RAHMAN</t>
  </si>
  <si>
    <t>চাকৃুরিজিবি</t>
  </si>
  <si>
    <t>01717666803</t>
  </si>
  <si>
    <t>মোছা: জোবাইদা খাতুন</t>
  </si>
  <si>
    <t>JUBYDA KHATUN</t>
  </si>
  <si>
    <t>01948141165</t>
  </si>
  <si>
    <t>SRI-00227</t>
  </si>
  <si>
    <t>20124713088805939</t>
  </si>
  <si>
    <t>মওলাপাড়া, বি.বি.রোড, নারায়ণগঞ্জ, নারায়ণগঞ্জ</t>
  </si>
  <si>
    <t>চাদগড়, শরাফপুর, ডুমুরিয়া,খুলনা</t>
  </si>
  <si>
    <t>খুলনা</t>
  </si>
  <si>
    <t>ফিলোসোফিয়া স্কুল</t>
  </si>
  <si>
    <t xml:space="preserve">মুহসিনা হক জান্নাত </t>
  </si>
  <si>
    <t>MUHSINA HAQUE JANNAT</t>
  </si>
  <si>
    <t>মোঃ মঈনুল হক</t>
  </si>
  <si>
    <t>MD. MOINUL HAQUE</t>
  </si>
  <si>
    <t>01820507020</t>
  </si>
  <si>
    <t xml:space="preserve">তানজিলা বেগম </t>
  </si>
  <si>
    <t>TANJILA BEGUM</t>
  </si>
  <si>
    <t>01721265230</t>
  </si>
  <si>
    <t>SRI-00088</t>
  </si>
  <si>
    <t xml:space="preserve">২০/১,বড়বাগ,মিরপুর,ঢাকা </t>
  </si>
  <si>
    <t xml:space="preserve">বড়বাগ মহিলা মাদ্রাসা </t>
  </si>
  <si>
    <t xml:space="preserve">১ম </t>
  </si>
  <si>
    <t xml:space="preserve">জন্ম নিবন্ধন নাম্বার দেয়নি </t>
  </si>
  <si>
    <t>আবরার আহমেদ আবির</t>
  </si>
  <si>
    <t>ABRAR AHMED ABIR</t>
  </si>
  <si>
    <t>মো: শিব্বির আহমেদ মজুমদার</t>
  </si>
  <si>
    <t>MD. SHIBBIR AHAMMAD MOJUMDER</t>
  </si>
  <si>
    <t>চাকুরী জিবী</t>
  </si>
  <si>
    <t>01819127859</t>
  </si>
  <si>
    <t>সুলতানা বেগম</t>
  </si>
  <si>
    <t>SULTANA BEGUM</t>
  </si>
  <si>
    <t>01935354586</t>
  </si>
  <si>
    <t>SRI-00033</t>
  </si>
  <si>
    <t>201119131472042104</t>
  </si>
  <si>
    <t>ফাহিম মঞ্জিল, 16, পাঞ্জুখান রোড, খাঁ-পাড়া, টঙ্গি পশ্চিম, গাজিপুর</t>
  </si>
  <si>
    <t>বিজয় করা, , উত্তর বিজয় করা, বিজয় করা, চৌদ্দগ্রাম, কুমিল্লা</t>
  </si>
  <si>
    <t>তামিরুল মিল্লাত কামিল মাদরাসা,টঙ্গী</t>
  </si>
  <si>
    <t>চ</t>
  </si>
  <si>
    <t>shibbir.sultana@yahoo.com</t>
  </si>
  <si>
    <t>Abran Ahmed Abir</t>
  </si>
  <si>
    <t xml:space="preserve">মেহজাবীন তাবাসসুম </t>
  </si>
  <si>
    <t xml:space="preserve">MEHJABEEN TABASSUM </t>
  </si>
  <si>
    <t xml:space="preserve">মো: মানুন উর রশিদ মালিক </t>
  </si>
  <si>
    <t>MD. MAMUN UR RASHID MALIK</t>
  </si>
  <si>
    <t>01912205878</t>
  </si>
  <si>
    <t>রিফা তামান্না</t>
  </si>
  <si>
    <t xml:space="preserve">RIFA TAMANNA </t>
  </si>
  <si>
    <t>01984848405</t>
  </si>
  <si>
    <t>SRI-00092</t>
  </si>
  <si>
    <t>20201824009118881</t>
  </si>
  <si>
    <t>বনশ্রী, রামপুরা,ঢাকা</t>
  </si>
  <si>
    <t xml:space="preserve">গুলশান পাড়া,চুয়াডাঙ্গা সদর,চুয়াডাঙ্গা। </t>
  </si>
  <si>
    <t>চুয়াডাঙ্গা</t>
  </si>
  <si>
    <t xml:space="preserve">নিবরাস মাদ্রাসা </t>
  </si>
  <si>
    <t>mamun5566@gmail.com</t>
  </si>
  <si>
    <t>আব্দুল্লাহ বিন শফি</t>
  </si>
  <si>
    <t>ABDULLAH BIN SAFI</t>
  </si>
  <si>
    <t>মোহাম্মদ শফিউদ্দিন খান</t>
  </si>
  <si>
    <t>MUHAMMAD SAFIUDDIN KHAN</t>
  </si>
  <si>
    <t xml:space="preserve">চাকুরীজীবী </t>
  </si>
  <si>
    <t>01730051829</t>
  </si>
  <si>
    <t>উম্মে কুলছুম</t>
  </si>
  <si>
    <t>UMME KULSUM</t>
  </si>
  <si>
    <t>01717587773</t>
  </si>
  <si>
    <t>SRI-00309</t>
  </si>
  <si>
    <t>১১/৭ এ,মগবাজার,খানভিলা,ঢাকা</t>
  </si>
  <si>
    <t>নলডুগী,রামপুরা বাজার,ফরিদগঞ্জ</t>
  </si>
  <si>
    <t xml:space="preserve">উসমান মাদ্রাসা </t>
  </si>
  <si>
    <t xml:space="preserve">নার্সারি </t>
  </si>
  <si>
    <t>Muhammad Safi uddin Khan</t>
  </si>
  <si>
    <t>জন্ম নিবন্ধন নাম্বার দেয়নি</t>
  </si>
  <si>
    <t>নুজাইরাতুন নাজিরা</t>
  </si>
  <si>
    <t>NUZAIRATUN NAZIRA</t>
  </si>
  <si>
    <t>মোঃ সাহাদাত হুসাইন</t>
  </si>
  <si>
    <t>MD. SHAHADAT HOSSAIN</t>
  </si>
  <si>
    <t>01844509199</t>
  </si>
  <si>
    <t xml:space="preserve">ওবায়দা </t>
  </si>
  <si>
    <t>OBAYDA</t>
  </si>
  <si>
    <t>01515209403</t>
  </si>
  <si>
    <t>SRI-00277</t>
  </si>
  <si>
    <t>৬,নিউ টাউন,ডেমরা,ঢাকা</t>
  </si>
  <si>
    <t xml:space="preserve">বড়ই কান্দি ভাতেরচর, মধ্য ভি চর,গজরিয়া </t>
  </si>
  <si>
    <t>মুন্সিগঞ্জ</t>
  </si>
  <si>
    <t>Al Quran Institute</t>
  </si>
  <si>
    <t xml:space="preserve">প্লে </t>
  </si>
  <si>
    <t xml:space="preserve">আনাস আল ওয়ালিদ </t>
  </si>
  <si>
    <t>ANAS AL WALID</t>
  </si>
  <si>
    <t xml:space="preserve">আহসান হাবীব </t>
  </si>
  <si>
    <t>AHASAN HABIB</t>
  </si>
  <si>
    <t>01833156862</t>
  </si>
  <si>
    <t>নাজমা আক্তার</t>
  </si>
  <si>
    <t>NAZMA AKTER</t>
  </si>
  <si>
    <t>চাকুরি</t>
  </si>
  <si>
    <t>01921047167</t>
  </si>
  <si>
    <t>SRI-00184</t>
  </si>
  <si>
    <t>20191314589111470</t>
  </si>
  <si>
    <t xml:space="preserve">২৫,সেগুনবাগিচা,ঢাকা </t>
  </si>
  <si>
    <t>বাসারা,ফরিদগঞ্জ</t>
  </si>
  <si>
    <t xml:space="preserve">ইউনাইটেড মডেল মাদরাসা </t>
  </si>
  <si>
    <t>01740908192</t>
  </si>
  <si>
    <t>মোঃ জুয়েল রানা</t>
  </si>
  <si>
    <t>MD. JUYEL RANA</t>
  </si>
  <si>
    <t>মৃত মকবুল হোসাইন</t>
  </si>
  <si>
    <t xml:space="preserve">MOKBUL HOSSAIN </t>
  </si>
  <si>
    <t>01234</t>
  </si>
  <si>
    <t>মোছা রাজিয়া খাতুন</t>
  </si>
  <si>
    <t>MST. RAZIYA KHATUN</t>
  </si>
  <si>
    <t>01323304255</t>
  </si>
  <si>
    <t>SRI-00375</t>
  </si>
  <si>
    <t>20098819480805437</t>
  </si>
  <si>
    <t xml:space="preserve">২৫,নিউমার্কেট,ঢাকা </t>
  </si>
  <si>
    <t>নলসোন্ধা,ডিগ্রিরচর,উল্লাপারা</t>
  </si>
  <si>
    <t>সিরাজগঞ্জ</t>
  </si>
  <si>
    <t xml:space="preserve">নয়াটোলা কামিল মাদরাসা </t>
  </si>
  <si>
    <t>আলিম ১ম</t>
  </si>
  <si>
    <t>01970725492</t>
  </si>
  <si>
    <t>01306711459</t>
  </si>
  <si>
    <t>Juyel Rana</t>
  </si>
  <si>
    <t xml:space="preserve">ছবি দেয়নি ,,,,,,,,,,, ভর্তি বেতন ৫০% </t>
  </si>
  <si>
    <t>তায়ফুর ইসলাম</t>
  </si>
  <si>
    <t>TAIFUR ISLAM</t>
  </si>
  <si>
    <t>রেজাউল করিম গাজী</t>
  </si>
  <si>
    <t>REZAUL KARIM GAZI</t>
  </si>
  <si>
    <t>01981980119</t>
  </si>
  <si>
    <t>শাহানারা খানম</t>
  </si>
  <si>
    <t>SHAHANARA KHANOM</t>
  </si>
  <si>
    <t>SRL-00355</t>
  </si>
  <si>
    <t>20054715322006523</t>
  </si>
  <si>
    <t>উত্তর মুগদা,ঢাকা</t>
  </si>
  <si>
    <t>আংটিহারা,জোড়শিং,কয়রা</t>
  </si>
  <si>
    <t>নুরে মোহাম্মাদিয়া মাদরাসা</t>
  </si>
  <si>
    <t xml:space="preserve">আলিম ২য় </t>
  </si>
  <si>
    <t>সাধারন</t>
  </si>
  <si>
    <t>01967701059</t>
  </si>
  <si>
    <t>01997358419</t>
  </si>
  <si>
    <t>MD. Taifur Islam</t>
  </si>
  <si>
    <t xml:space="preserve">ভর্তি এবং বেতনে ৫০% </t>
  </si>
  <si>
    <t xml:space="preserve"> মারসাদ জামান তাওসিফ </t>
  </si>
  <si>
    <t xml:space="preserve">Marsad Zaman Tawsif </t>
  </si>
  <si>
    <t>মো:কামারুজ্জামান</t>
  </si>
  <si>
    <t>Md.Kamaruzzaman</t>
  </si>
  <si>
    <t>01313799232</t>
  </si>
  <si>
    <t xml:space="preserve">মাহমুদা রহমান </t>
  </si>
  <si>
    <t>Mahmuda Rahman</t>
  </si>
  <si>
    <t>01680259356</t>
  </si>
  <si>
    <t>SRI-00609</t>
  </si>
  <si>
    <t>20082692041149578</t>
  </si>
  <si>
    <t>Wari,dhaka</t>
  </si>
  <si>
    <t>wari,dhaka</t>
  </si>
  <si>
    <t xml:space="preserve">বীরশ্রেষ্ঠ মুন্সী আব্দুর রউফ পাবলিক কলেজ </t>
  </si>
  <si>
    <t>কলেজ দ্বিতীয় বর্ষ</t>
  </si>
  <si>
    <t xml:space="preserve">Science </t>
  </si>
  <si>
    <t>01611895569</t>
  </si>
  <si>
    <t>tawsifz981@gmail.com</t>
  </si>
  <si>
    <t>Tawsif Zaman</t>
  </si>
  <si>
    <t>নাই</t>
  </si>
  <si>
    <t>না</t>
  </si>
  <si>
    <t xml:space="preserve">তাওসীফ আমীন মাশফি </t>
  </si>
  <si>
    <t>TAWSIF AMIN MASHFI</t>
  </si>
  <si>
    <t>আব্দুল মাজিদ</t>
  </si>
  <si>
    <t>ABDUL MAZID</t>
  </si>
  <si>
    <t xml:space="preserve">ব্যাংকার </t>
  </si>
  <si>
    <t>01912696600</t>
  </si>
  <si>
    <t xml:space="preserve">শারমিন আক্তার </t>
  </si>
  <si>
    <t>SHARMIN AKTER</t>
  </si>
  <si>
    <t>01723303594</t>
  </si>
  <si>
    <t>SRI-00199</t>
  </si>
  <si>
    <t>20162692006155414</t>
  </si>
  <si>
    <t xml:space="preserve">৫৬/৪,দক্ষিন মুগদা,সবুজবাগ,ঢাকা </t>
  </si>
  <si>
    <t xml:space="preserve">কোমর চান্দা,পশ্চিমপাড়া,মাটিকোমরা,ঝিকরগাছা </t>
  </si>
  <si>
    <t>যশোর</t>
  </si>
  <si>
    <t xml:space="preserve">তানযীমুল উম্মাহ হিফয মাদরাসা </t>
  </si>
  <si>
    <t>ক্যাডেট-২৫১</t>
  </si>
  <si>
    <t>amazidkhan2015@gmail.com</t>
  </si>
  <si>
    <t>Abdul Mazid</t>
  </si>
  <si>
    <t>https://drive.google.com/file/d/11GvcITSX90PS17m-SWghpENsO6a0626Q/view?usp=sharing</t>
  </si>
  <si>
    <t>রুয়াইস রাইয়ান</t>
  </si>
  <si>
    <t>RUWAIS RAIYAN</t>
  </si>
  <si>
    <t xml:space="preserve">রফিকুল ইসলাম শামীম </t>
  </si>
  <si>
    <t>RAFIQUL ISLAM SHAMIM</t>
  </si>
  <si>
    <t>01309009382</t>
  </si>
  <si>
    <t xml:space="preserve">তাহেরা খাতুন </t>
  </si>
  <si>
    <t>TAHERA KHATUN</t>
  </si>
  <si>
    <t>01913001677</t>
  </si>
  <si>
    <t>SRI-00077</t>
  </si>
  <si>
    <t>20202692033157306</t>
  </si>
  <si>
    <t>৪২নং আসমানী লেন,বংশাল,ঢাকা</t>
  </si>
  <si>
    <t xml:space="preserve">ঝাউয়াদী,কাপাসিয়া </t>
  </si>
  <si>
    <t>বিকন আইডিয়াল ইনিস্টিটিউট</t>
  </si>
  <si>
    <t>কেজি</t>
  </si>
  <si>
    <t xml:space="preserve">রাইফুল ইসলাম </t>
  </si>
  <si>
    <t xml:space="preserve">RAIFUL ISLAM </t>
  </si>
  <si>
    <t>SRI-00068</t>
  </si>
  <si>
    <t>20152692033071566</t>
  </si>
  <si>
    <t xml:space="preserve">৪২ আগামাসী লেন,বংশাল,ঢাকা </t>
  </si>
  <si>
    <t>ঝাউয়াদী,কাপাসিয়া</t>
  </si>
  <si>
    <t xml:space="preserve">BEACON IDEAL INSTITUTE </t>
  </si>
  <si>
    <t xml:space="preserve">কিরাতেও আছে </t>
  </si>
  <si>
    <t xml:space="preserve">Ahsan al jawad mahi </t>
  </si>
  <si>
    <t>রাইফুল ইসলাম</t>
  </si>
  <si>
    <t>RAIFUL ISLAM</t>
  </si>
  <si>
    <t>রফিকুল ইসলাম শামীম</t>
  </si>
  <si>
    <t>তাহেরা খাতুন</t>
  </si>
  <si>
    <t>৪২ আগামাসী লেন,বংশাল,ঢাকা</t>
  </si>
  <si>
    <t>BEACON IDEAL INSTITUTE</t>
  </si>
  <si>
    <t xml:space="preserve">গানেও আছে </t>
  </si>
  <si>
    <t>সাদ বিন হেলাল</t>
  </si>
  <si>
    <t xml:space="preserve">SAAD BIN HELAL </t>
  </si>
  <si>
    <t xml:space="preserve">মোঃ হেলাল উদ্দিন </t>
  </si>
  <si>
    <t xml:space="preserve">MD. HELAL UDDIN </t>
  </si>
  <si>
    <t>01721132800</t>
  </si>
  <si>
    <t>নিগারিন সুলতানা</t>
  </si>
  <si>
    <t>NIGARIN SULTANA</t>
  </si>
  <si>
    <t>01756125906</t>
  </si>
  <si>
    <t>SRI-00397</t>
  </si>
  <si>
    <t>20142692538075090</t>
  </si>
  <si>
    <t xml:space="preserve">২০১,হাছেনউদ্দিন রোড, বাড্ডা,ঢাকা  </t>
  </si>
  <si>
    <t>দ্বিপাশা,বাউফল</t>
  </si>
  <si>
    <t>International madrasatul Quran</t>
  </si>
  <si>
    <t xml:space="preserve">৬ষ্ঠ </t>
  </si>
  <si>
    <t xml:space="preserve">এইচ এম আহসান উল্লাহ </t>
  </si>
  <si>
    <t>H M AHSAN ULLAH</t>
  </si>
  <si>
    <t>আব্দুল সাত্তার</t>
  </si>
  <si>
    <t>ABDUL SATTAR</t>
  </si>
  <si>
    <t xml:space="preserve">মৃত </t>
  </si>
  <si>
    <t xml:space="preserve">চান খাতুন </t>
  </si>
  <si>
    <t>CHAN KHATUN</t>
  </si>
  <si>
    <t>01715412498</t>
  </si>
  <si>
    <t>SRI-00014</t>
  </si>
  <si>
    <t>সনমানিয়া,কাপাসিয়া,গাজিপুর</t>
  </si>
  <si>
    <t>সনমানিয়া,কাপাসিয়া</t>
  </si>
  <si>
    <t xml:space="preserve">চন্দন বাড়ী ইসলামিয়া কামিল মাদরাসা </t>
  </si>
  <si>
    <t xml:space="preserve">কামিল ২য় বর্ষ </t>
  </si>
  <si>
    <t xml:space="preserve">তাফসির </t>
  </si>
  <si>
    <t>01961234729</t>
  </si>
  <si>
    <t>hmahsan004@gmail.com</t>
  </si>
  <si>
    <t>H M Ahsan</t>
  </si>
  <si>
    <t>ছবি এবং রক্তের গ্রুপ দেয়নি</t>
  </si>
  <si>
    <t>হাসনাত মাহমুদ রাকিন</t>
  </si>
  <si>
    <t>HASNAT MAHMUD RAKIN</t>
  </si>
  <si>
    <t>MOHAMMAD ANOWER HOSSAIN</t>
  </si>
  <si>
    <t>MAHMUDA FERDOUS</t>
  </si>
  <si>
    <t>SRI-00127</t>
  </si>
  <si>
    <t>20143012538102692</t>
  </si>
  <si>
    <t>আকুঠির, ১/০৩/বি, ওয়াসা রোড, খিলগাও, মুগদা, ঢাকা</t>
  </si>
  <si>
    <t>উত্তর জায়লস্কর, জায়লস্কর বাজার, দাগানভূঁঞা, ফেনী</t>
  </si>
  <si>
    <t>মহানগর আইডিয়াল স্কুল এন্ড কলেজ</t>
  </si>
  <si>
    <t>05</t>
  </si>
  <si>
    <t>01714732251</t>
  </si>
  <si>
    <t>anowerhossainfeni@gmail.com</t>
  </si>
  <si>
    <t>Mohammad Anower Hossain</t>
  </si>
  <si>
    <t>MAHMUDA FERDAUS</t>
  </si>
  <si>
    <t>আকুঠির, ১/৩/বি, ওয়াসা রোড, খিলগা, মুগদা, ঢাকা</t>
  </si>
  <si>
    <t>উত্তর জায়লস্কর, জায়লস্কর, দাগনভূঁঞা, ফেনী</t>
  </si>
  <si>
    <t>গানেও ভর্তি হয়েছে</t>
  </si>
  <si>
    <t>নাদিয়া হোসেন রুহি</t>
  </si>
  <si>
    <t>NADIA HOSSAIN RUHI</t>
  </si>
  <si>
    <t>মোফাজ্জেল হোসেন</t>
  </si>
  <si>
    <t>MOFAZZAL HOSSAIN</t>
  </si>
  <si>
    <t>চাকরী</t>
  </si>
  <si>
    <t>01913491033</t>
  </si>
  <si>
    <t>নুরানী খাতুন</t>
  </si>
  <si>
    <t>NURANI KHATUN</t>
  </si>
  <si>
    <t>01935738786</t>
  </si>
  <si>
    <t>SRI-00380</t>
  </si>
  <si>
    <t>বাড়ি: ২৩, সড়ক: ১০, পল্লবী, পল্লবী, ঢাকা</t>
  </si>
  <si>
    <t>পানোখালী, পারোখালী, তেরখাদা, খুলনা</t>
  </si>
  <si>
    <t>আল হিকমা মাদ্রাসা</t>
  </si>
  <si>
    <t>আব্দুলাহ  আল হিশাম</t>
  </si>
  <si>
    <t>ABDULLAH AL HISAM</t>
  </si>
  <si>
    <t>আলা উদ্দিন</t>
  </si>
  <si>
    <t>ALA UDDIN</t>
  </si>
  <si>
    <t>01721006201</t>
  </si>
  <si>
    <t>সাহিদুন নাহার ( বৃষ্টি )</t>
  </si>
  <si>
    <t>SHAHIDUN NAHAR BRISTY</t>
  </si>
  <si>
    <t>01874339570</t>
  </si>
  <si>
    <t>SRI-00159</t>
  </si>
  <si>
    <t>20172692530491674</t>
  </si>
  <si>
    <t>উত্তর আদাবর, ২৬/৬, ঢাকা হাউজিং ২ নং, মোহাম্মাদপুর, ঢাকা</t>
  </si>
  <si>
    <t>ব্যাপারি বাড়ি, খলিশাটোলা, ইসলামিয়া মাদ্রাসা, চরমটুয়া, নোয়াখালী</t>
  </si>
  <si>
    <t>উইটন ইন্টারন্যাশনাল স্কুল</t>
  </si>
  <si>
    <t>গ্রেট- ওয়ান</t>
  </si>
  <si>
    <t>প্রারকন</t>
  </si>
  <si>
    <t>01763592449</t>
  </si>
  <si>
    <t>জুহাইন বুখারী</t>
  </si>
  <si>
    <t>JUHAIN BUKHARI</t>
  </si>
  <si>
    <t>অহিদুজ্জামান রুহান</t>
  </si>
  <si>
    <t>OHIDUZZAMAN RUHAN</t>
  </si>
  <si>
    <t>01946124168</t>
  </si>
  <si>
    <t xml:space="preserve">ইফা জাহান </t>
  </si>
  <si>
    <t>IFA JAHAN</t>
  </si>
  <si>
    <t>01768871393</t>
  </si>
  <si>
    <t>SRI-00267</t>
  </si>
  <si>
    <t>20177815750013235</t>
  </si>
  <si>
    <t>উত্তর যাত্রাবাড়ী,ঢাকা</t>
  </si>
  <si>
    <t>কোতখালী,গলাচিপা</t>
  </si>
  <si>
    <t xml:space="preserve">তা’মীরুল মিল্লাত কামিল মাদরাসা </t>
  </si>
  <si>
    <t xml:space="preserve">৩য় </t>
  </si>
  <si>
    <t>আরিয়া জাহিন</t>
  </si>
  <si>
    <t>ARIYA ZAHEEN</t>
  </si>
  <si>
    <t>MD. ABDULLAH AL FAZZLAY RABBI</t>
  </si>
  <si>
    <t>মরিয়ম জামিলা</t>
  </si>
  <si>
    <t>MARIOM ZAMILA</t>
  </si>
  <si>
    <t>SRI-00132</t>
  </si>
  <si>
    <t>20186414754115398</t>
  </si>
  <si>
    <t>মিরপুর-১৩, বাড়ি: 5B, সড়ক: ১৩, মিরপুর, মিরপুর, ঢাকা</t>
  </si>
  <si>
    <t>EMPEREYAN INT. SCHOOL</t>
  </si>
  <si>
    <t>KG-II</t>
  </si>
  <si>
    <t>রাহিবীন ইবনে আনাস</t>
  </si>
  <si>
    <t>Rahibeen Ibn Anas</t>
  </si>
  <si>
    <t>মোঃ আনিসুল ইসলাম</t>
  </si>
  <si>
    <t>Md. Anisul Islam</t>
  </si>
  <si>
    <t>01755538889</t>
  </si>
  <si>
    <t>জিনাত রেহানা</t>
  </si>
  <si>
    <t>Zinat Rehana</t>
  </si>
  <si>
    <t>01768471720</t>
  </si>
  <si>
    <t>SRI-00223</t>
  </si>
  <si>
    <t>20151591620111866</t>
  </si>
  <si>
    <t>সোবহান অফিসার্স কোয়াটার,বাড়ি নং'১৩ধানমন্ডি,ঢাকা।</t>
  </si>
  <si>
    <t xml:space="preserve">আলী আকবর ডেইল,চৌধূরী পাড়া,বড়ঘোনা,কুতুবদিয়া, কক্সবাজার। </t>
  </si>
  <si>
    <t>কক্সবাজার</t>
  </si>
  <si>
    <t>ধানমন্ডি গভঃবয়েজ হাইস্কুল।</t>
  </si>
  <si>
    <t>01755538887</t>
  </si>
  <si>
    <t>anis.pharm@gmail.com</t>
  </si>
  <si>
    <t>Anis Hamja</t>
  </si>
  <si>
    <t>Omar Faruk</t>
  </si>
  <si>
    <t>Rahibin Ibn Anas</t>
  </si>
  <si>
    <t xml:space="preserve"> Zinat Rehana</t>
  </si>
  <si>
    <t>সোবহানবাগ অফিসার্স কোয়ার্টার,বাড়ি নং-০৩,ধানমন্ডি, ঢাকা।</t>
  </si>
  <si>
    <t xml:space="preserve">আলী আকবর ডেইল,চৌধূরীপাড়া,বড়ঘোনা,কক্সবাজার। </t>
  </si>
  <si>
    <t>ধানমন্ডি গভঃ বয়েজ হাইস্কুল</t>
  </si>
  <si>
    <t>তাসকিয়া আলম লামিয়া</t>
  </si>
  <si>
    <t>Tasfia Alam Lamia</t>
  </si>
  <si>
    <t>মোঃ শাহ আলম</t>
  </si>
  <si>
    <t>Md. Shah Alam</t>
  </si>
  <si>
    <t xml:space="preserve">সরকারী চাকুরীজীবি </t>
  </si>
  <si>
    <t>01719039026</t>
  </si>
  <si>
    <t>কামরুন্নাহার ফাতেমা</t>
  </si>
  <si>
    <t>Kamrunnahar Fatema</t>
  </si>
  <si>
    <t>01751002443</t>
  </si>
  <si>
    <t>SRI-00070</t>
  </si>
  <si>
    <t>20158819429968941</t>
  </si>
  <si>
    <t>টোলারবাগ,মিরপুর,বাড়ি নং-০২,ঢাকা।</t>
  </si>
  <si>
    <t>ইসলামপুর,বালসাবাড়ি রোড,উল্লাপাড়া,সিরাজগঞ্জ।</t>
  </si>
  <si>
    <t>বিসিআইসি কলেজ</t>
  </si>
  <si>
    <t xml:space="preserve">পঞ্চম </t>
  </si>
  <si>
    <t>জি-১</t>
  </si>
  <si>
    <t>ছবি দেয় নাই</t>
  </si>
  <si>
    <t>omar faruk</t>
  </si>
  <si>
    <t>ফারদিন ফাইয়াজ</t>
  </si>
  <si>
    <t>FARDIN FAIYAZ</t>
  </si>
  <si>
    <t>মো: মাসুম আব্দুল্লাহ</t>
  </si>
  <si>
    <t>MD. MASUM ABDULLAH</t>
  </si>
  <si>
    <t>01712</t>
  </si>
  <si>
    <t>মাকসুদা পারভিন</t>
  </si>
  <si>
    <t>MAKSUDA PERVIN</t>
  </si>
  <si>
    <t>01816702276</t>
  </si>
  <si>
    <t>SRI-00146</t>
  </si>
  <si>
    <t>20172692004312861</t>
  </si>
  <si>
    <t>শেলটেক মমিন টাওয়ার, ৯৯/১, পূর্ব বাসাবো, বাসাবো, ঢাকা-১২১৪</t>
  </si>
  <si>
    <t>MYSTIC INTERNATIONAL SCHOOL</t>
  </si>
  <si>
    <t>J2502016</t>
  </si>
  <si>
    <t>01712805456</t>
  </si>
  <si>
    <t>masum.xim@gmail.com</t>
  </si>
  <si>
    <t>faiyaz.fardin007</t>
  </si>
  <si>
    <t>আবৃত্তি ও উপস্থাপনাতেও ভর্তি হয়েছে</t>
  </si>
  <si>
    <t>ফজলে রাইয়ান</t>
  </si>
  <si>
    <t>Fazle Rayian</t>
  </si>
  <si>
    <t>ফজলে এলাহী</t>
  </si>
  <si>
    <t>Fazle Alahi</t>
  </si>
  <si>
    <t>01675381390</t>
  </si>
  <si>
    <t>ছামিরা খানম</t>
  </si>
  <si>
    <t>Samira Khanom</t>
  </si>
  <si>
    <t>SRI-00300</t>
  </si>
  <si>
    <t>20184814925140746</t>
  </si>
  <si>
    <t>পাটেরবান,দনিয়া,কদমতলী,ঢাকা।</t>
  </si>
  <si>
    <t>চৌদ্দশত,কিশোরগঞ্জ সদর,কিশোরগঞ্জ।</t>
  </si>
  <si>
    <t>কিশোরগঞ্জ</t>
  </si>
  <si>
    <t>মারকাজুল কুরআন ওয়াস সুন্নাহ</t>
  </si>
  <si>
    <t>শেখ তাসফিয়া ইসলাম</t>
  </si>
  <si>
    <t>Shaikh Tasfiya Islam</t>
  </si>
  <si>
    <t>শেখ আমিনুল ইসলাম</t>
  </si>
  <si>
    <t>Shaikh Aminul Islam</t>
  </si>
  <si>
    <t>01926002242</t>
  </si>
  <si>
    <t>রাবেয়া</t>
  </si>
  <si>
    <t>Rabeya</t>
  </si>
  <si>
    <t>01942706667</t>
  </si>
  <si>
    <t>SRI-00059</t>
  </si>
  <si>
    <t>20162692513595910</t>
  </si>
  <si>
    <t>উত্তরপীরের গলী,বাড়ি নং ৭/১,মিরপুর, ঢাকা।</t>
  </si>
  <si>
    <t xml:space="preserve">গিমাডোলা,টুঙ্গিপাড়া, গোপালগঞ্জ </t>
  </si>
  <si>
    <t>ইসলামী ব্যাংক ইন্টারন্যাশনাল স্কুল</t>
  </si>
  <si>
    <t>ইংরেজী ভার্সন</t>
  </si>
  <si>
    <t>aminulislambtv@gmail.com</t>
  </si>
  <si>
    <t>মাহদিয়া দিলশাদ</t>
  </si>
  <si>
    <t>MAHDIYA DILSHAD</t>
  </si>
  <si>
    <t>মোঃ দিদারুল ইসলাম</t>
  </si>
  <si>
    <t>MD. Diderul Islam</t>
  </si>
  <si>
    <t>01747456722</t>
  </si>
  <si>
    <t>মারুফা আক্তার</t>
  </si>
  <si>
    <t>Marufa Akhter</t>
  </si>
  <si>
    <t>01866761674</t>
  </si>
  <si>
    <t>SRI-00690</t>
  </si>
  <si>
    <t>20177511017114230</t>
  </si>
  <si>
    <t>Dhanshalik Studio,বাড়ি নং-86/B, পুরানা পল্টন,ঢাকা।</t>
  </si>
  <si>
    <t>মেঘা,বদলকোট,চাটখিল,নোয়াখালী।</t>
  </si>
  <si>
    <t>আইডিয়াল স্কুল মতিঝিল</t>
  </si>
  <si>
    <t>প্রভাতী</t>
  </si>
  <si>
    <t>i.dider009@gmail.com</t>
  </si>
  <si>
    <t>Didarul Islam</t>
  </si>
  <si>
    <t xml:space="preserve">আহনাফ আব্দুল্লাহ </t>
  </si>
  <si>
    <t>AHNAF ABDULLAH</t>
  </si>
  <si>
    <t>আতাউর রহমান</t>
  </si>
  <si>
    <t xml:space="preserve">ATAUR RAHMAN </t>
  </si>
  <si>
    <t xml:space="preserve">চাকুরি </t>
  </si>
  <si>
    <t>01740546895</t>
  </si>
  <si>
    <t>উম্মে সালমা</t>
  </si>
  <si>
    <t>UMME SALMA</t>
  </si>
  <si>
    <t>01404564633</t>
  </si>
  <si>
    <t>SRI-00398</t>
  </si>
  <si>
    <t>মানিকদিয়া,সবুজবাগ,ঢাকা</t>
  </si>
  <si>
    <t>ভুরুঙ্গামারী,ভুরুঙ্গামারী,</t>
  </si>
  <si>
    <t xml:space="preserve">এম আই দাখিল মাদরাসা </t>
  </si>
  <si>
    <t>01576964935</t>
  </si>
  <si>
    <t>ataur2025@gmail.com</t>
  </si>
  <si>
    <t>Ataur Rahman</t>
  </si>
  <si>
    <t>ছবি এবং জন্ম নিবন্ধন দেয়নি</t>
  </si>
  <si>
    <t>জুলকারনাইন বিন আহসান</t>
  </si>
  <si>
    <t>Zulkarnine Bin Ahsan</t>
  </si>
  <si>
    <t>আহসান হাবীব মাসুদ</t>
  </si>
  <si>
    <t>Ahsan Habib Masud</t>
  </si>
  <si>
    <t>01912720090</t>
  </si>
  <si>
    <t>কাইসুর আক্তার মুন</t>
  </si>
  <si>
    <t>Kaisur Akhter Moon</t>
  </si>
  <si>
    <t>01511</t>
  </si>
  <si>
    <t>SRI-00006</t>
  </si>
  <si>
    <t>উত্তর যাত্রাবাড়ী, বাড়ি নং ১/১ সূতিখালপাড়,যাত্রাবাড়ী, ঢাকা।</t>
  </si>
  <si>
    <t>আদর্শনগর হিফজুল কুরআন মাদ্রাসা</t>
  </si>
  <si>
    <t>ahsanbd21@gmail.com</t>
  </si>
  <si>
    <t>জন্মনিবন্ধন হয়নি/দেয়নি</t>
  </si>
  <si>
    <t>রাইয়ান ইবনে হাশেম</t>
  </si>
  <si>
    <t>Raiyan Ibne Hishem</t>
  </si>
  <si>
    <t>মোঃ আবুল হাশেম</t>
  </si>
  <si>
    <t>Md. Abul Hashem</t>
  </si>
  <si>
    <t>Buisness</t>
  </si>
  <si>
    <t>01715392636</t>
  </si>
  <si>
    <t>রাহিমুন নিছা</t>
  </si>
  <si>
    <t>Rahimun Nessa</t>
  </si>
  <si>
    <t xml:space="preserve">Housewife </t>
  </si>
  <si>
    <t>01752144155</t>
  </si>
  <si>
    <t>SRI-00256</t>
  </si>
  <si>
    <t>20142692031065145</t>
  </si>
  <si>
    <t>মাহুতটুলি,বংশাল,বাড়ি নং-১৪,বাবুবাজার,বংশাল,ঢাকা।</t>
  </si>
  <si>
    <t xml:space="preserve">মিজমিজি পশ্চিমপাড়া,সিদ্ধিরগঞ্জ, নারায়ণগঞ্জ। </t>
  </si>
  <si>
    <t>নারায়ণগঞ্জ</t>
  </si>
  <si>
    <t>মিছবাহুল উম্মাহ মাদ্রাসা</t>
  </si>
  <si>
    <t>hashem2636@gmail.com</t>
  </si>
  <si>
    <t>Md Abul Hashem</t>
  </si>
  <si>
    <t>তাহমিদ ইবনে শাহাদাত</t>
  </si>
  <si>
    <t>Tahmid Ibn Shahadat</t>
  </si>
  <si>
    <t>নাজমুল শাহাদাত</t>
  </si>
  <si>
    <t>Nazmul Shahadat</t>
  </si>
  <si>
    <t>01877724434</t>
  </si>
  <si>
    <t>তাফহীমা আক্তার</t>
  </si>
  <si>
    <t>Tafhima Akhter</t>
  </si>
  <si>
    <t>01811117096</t>
  </si>
  <si>
    <t>SRI-00386</t>
  </si>
  <si>
    <t>20172692521301533</t>
  </si>
  <si>
    <t>পল্টন,বাড়ি-১১৪,শান্তিনগর কাঁচাবাজার, পল্টন, ঢাকা।</t>
  </si>
  <si>
    <t>আনোয়ার উল্লাহ সড়ক,ফেনী</t>
  </si>
  <si>
    <t>উইলস লিটল ফ্লাওয়ার স্কুল</t>
  </si>
  <si>
    <t>standard-1</t>
  </si>
  <si>
    <t>English Medium</t>
  </si>
  <si>
    <t>01877724437</t>
  </si>
  <si>
    <t>শাবীব এহসান</t>
  </si>
  <si>
    <t>SHABIB EHSAN</t>
  </si>
  <si>
    <t>মোঃ হাসানুর রহমান</t>
  </si>
  <si>
    <t>MD. HASANUR RAHMAN</t>
  </si>
  <si>
    <t>01745005410</t>
  </si>
  <si>
    <t>মোছা আত তাহিরা খাতুন</t>
  </si>
  <si>
    <t>MST. ATTAHIRA KHATUN</t>
  </si>
  <si>
    <t>01995234663</t>
  </si>
  <si>
    <t>SRI-00064</t>
  </si>
  <si>
    <t>20218127505099842</t>
  </si>
  <si>
    <t xml:space="preserve">৮,খিলগাঁও,ঢাকা </t>
  </si>
  <si>
    <t xml:space="preserve">চৌবাড়িয়া,পবা </t>
  </si>
  <si>
    <t xml:space="preserve">তারবিয়াহ আইডিয়াল স্কুল </t>
  </si>
  <si>
    <t>hasanur89@gmail.com</t>
  </si>
  <si>
    <t>রক্তের গ্রুপ দেয়নি</t>
  </si>
  <si>
    <t>ফাতিমা জান্নাত ফারজিন</t>
  </si>
  <si>
    <t>Fatima Jannat Farzin</t>
  </si>
  <si>
    <t>মোঃ ফজলুর রহমান মিরাজ</t>
  </si>
  <si>
    <t>Md. Fazlur Rahman Miraz</t>
  </si>
  <si>
    <t>01817584708</t>
  </si>
  <si>
    <t xml:space="preserve">ফারজানা জান্নাত </t>
  </si>
  <si>
    <t>Farzana Jannat</t>
  </si>
  <si>
    <t>0101842584708</t>
  </si>
  <si>
    <t>SRI-00342</t>
  </si>
  <si>
    <t>20172692055156239</t>
  </si>
  <si>
    <t>342/A তিলপাড়া,খিলগাঁও, ঢাকা।</t>
  </si>
  <si>
    <t xml:space="preserve">ভবানীজীবনপুর,বেগমগঞ্জ, নোয়াখালী </t>
  </si>
  <si>
    <t>আইডিয়াল স্কুল এন্ড কলেজ মতিঝিল</t>
  </si>
  <si>
    <t>https://drive.google.com/file/d/1O_gEa25By1QeM0oe0lM__4af38ZMPuCh/view?usp=sharing</t>
  </si>
  <si>
    <t>আব্দুল্লাহ আল সাবিত</t>
  </si>
  <si>
    <t>ABDULLAH AL SABIT</t>
  </si>
  <si>
    <t>মোঃ আবু ইউসুফ</t>
  </si>
  <si>
    <t>MD. ABU YUSUF</t>
  </si>
  <si>
    <t>01850544278</t>
  </si>
  <si>
    <t xml:space="preserve">উম্মে সালমা </t>
  </si>
  <si>
    <t>01874640456</t>
  </si>
  <si>
    <t>SRI-00338</t>
  </si>
  <si>
    <t>20172692512469531</t>
  </si>
  <si>
    <t>১৩৫১/১,নুরপুর,দনিয়া,ঢাকা</t>
  </si>
  <si>
    <t>ছাড়াইত কান্দী,হানু মোল্লা সড়ক,ভৈরব চৌরাস্তা,সোনাগাজী</t>
  </si>
  <si>
    <t>ইকরা দ্বিনিয়াত দারা সুন্নাহ</t>
  </si>
  <si>
    <t>Md. ABU YUSUF</t>
  </si>
  <si>
    <t>সাবিহা রহমান তাজকিরা</t>
  </si>
  <si>
    <t>SABIHA RAHMAN TAJKIRA</t>
  </si>
  <si>
    <t>আরিফুর রহমান</t>
  </si>
  <si>
    <t>01711103662</t>
  </si>
  <si>
    <t>তাহেরা নুসরাত</t>
  </si>
  <si>
    <t>TAHERA NUSRAT</t>
  </si>
  <si>
    <t>01796185875</t>
  </si>
  <si>
    <t>SRI-00020</t>
  </si>
  <si>
    <t>মিরপুর-১১, সাংবাদিক আবাসিক এলাকা, সড়ক:৫, বাড়ি: ১৪১</t>
  </si>
  <si>
    <t>গাজিপুর, বায়ালখালি, বাবুগঞ্জ, বরিশাল</t>
  </si>
  <si>
    <t>হোপ ইন্টারন্যাশনাল স্কুল</t>
  </si>
  <si>
    <t>প্রেপ-২</t>
  </si>
  <si>
    <t>বাংলা ভার্সন</t>
  </si>
  <si>
    <t>01552312404</t>
  </si>
  <si>
    <t>0179618575</t>
  </si>
  <si>
    <t xml:space="preserve">ফাতিমা জিনাত </t>
  </si>
  <si>
    <t>FATIMA JINAT</t>
  </si>
  <si>
    <t xml:space="preserve">মোঃ আল আমিন </t>
  </si>
  <si>
    <t xml:space="preserve">MD. AL AMIN </t>
  </si>
  <si>
    <t>01709110810</t>
  </si>
  <si>
    <t xml:space="preserve">আয়েশা আক্তার </t>
  </si>
  <si>
    <t>AYSHA AKTER</t>
  </si>
  <si>
    <t>01779205020</t>
  </si>
  <si>
    <t>SRI-00250</t>
  </si>
  <si>
    <t>20205414082121443</t>
  </si>
  <si>
    <t>৩২/বি/১/৩,পূর্ব নয়াটোলা,মগবাজার,ঢাকা</t>
  </si>
  <si>
    <t>উত্তর রমজানপুর,কালকিনি</t>
  </si>
  <si>
    <t>মাদারীপুর</t>
  </si>
  <si>
    <t xml:space="preserve">তাকওয়া গ্লোবাল স্কুল </t>
  </si>
  <si>
    <t>রেজি নং ২৫০১১৩৪</t>
  </si>
  <si>
    <t>01743419129</t>
  </si>
  <si>
    <t>ayshadesing96@gmail.com</t>
  </si>
  <si>
    <t>Aysha Binte Abdul Jalil</t>
  </si>
  <si>
    <t xml:space="preserve">রক্তের গ্রুপ দেয়নি </t>
  </si>
  <si>
    <t>এস এম নাদিম মোস্তফা</t>
  </si>
  <si>
    <t>SM NADIM MUSTAFA</t>
  </si>
  <si>
    <t>মো: কামাল হোসেন</t>
  </si>
  <si>
    <t>MD. KAMAL HOSSAIN</t>
  </si>
  <si>
    <t>IT BUSINESS</t>
  </si>
  <si>
    <t>01716374595</t>
  </si>
  <si>
    <t>ছায়মা তৌহফা</t>
  </si>
  <si>
    <t>SAYMA THUFA</t>
  </si>
  <si>
    <t>HOWSE WIFE</t>
  </si>
  <si>
    <t>01767804824</t>
  </si>
  <si>
    <t>SRI-00043</t>
  </si>
  <si>
    <t>20152692513279054</t>
  </si>
  <si>
    <t>SOUTH PIRERBAGH, 207/4, AMTOLA OLIMARVET, MIRPUR-2, DHAKA</t>
  </si>
  <si>
    <t>PATKEL GHATA, HIGH SCHOOL ROAD,PATKEL GHAT, TALA, SATKHIRA</t>
  </si>
  <si>
    <t>সাতক্ষীরা</t>
  </si>
  <si>
    <t>MOHAMMADPUR PRIPERATORY SCHOOL</t>
  </si>
  <si>
    <t>FORTH</t>
  </si>
  <si>
    <t>S COLLEGE 21</t>
  </si>
  <si>
    <t>PLATO</t>
  </si>
  <si>
    <t>kamal.bikel@gmail.com</t>
  </si>
  <si>
    <t>আলফিয়া ফারওয়াহ</t>
  </si>
  <si>
    <t>ALFIYA FARWAH</t>
  </si>
  <si>
    <t xml:space="preserve">মোঃ আলী করিম </t>
  </si>
  <si>
    <t>MD. ALI KARIM</t>
  </si>
  <si>
    <t>অধ্যাপনা</t>
  </si>
  <si>
    <t>01818251352</t>
  </si>
  <si>
    <t xml:space="preserve">মেহনাজ মুস্তারী তালুকদার </t>
  </si>
  <si>
    <t>MEHNAZ MUSTARY TALUKDER</t>
  </si>
  <si>
    <t>01917738439</t>
  </si>
  <si>
    <t>SRI-00313</t>
  </si>
  <si>
    <t>৩০৬/১,আহাম্মদনগর প্রভাতিরোড ,মিরপুর ১,ঢাকা</t>
  </si>
  <si>
    <t xml:space="preserve">বরুনাতৈল,মাগুরা </t>
  </si>
  <si>
    <t>মাগুরা</t>
  </si>
  <si>
    <t xml:space="preserve">সিক্স বী একাডেমী </t>
  </si>
  <si>
    <t>01309263966</t>
  </si>
  <si>
    <t>mehnaz.mustary@gmail.com</t>
  </si>
  <si>
    <t>Mehnaz Mustary</t>
  </si>
  <si>
    <t>ইব্রাহিম আল গালিব</t>
  </si>
  <si>
    <t>IBRAHIM GALIB</t>
  </si>
  <si>
    <t>SRI-00379</t>
  </si>
  <si>
    <t>বাড়ি: 23, রোড: 10, পল্লবী, ঢাকা</t>
  </si>
  <si>
    <t>পারোখালী, তেরখাদা, খুলনা</t>
  </si>
  <si>
    <t>আলহিকমাহ মাদ্রাসা</t>
  </si>
  <si>
    <t>08</t>
  </si>
  <si>
    <t>কাজী ইহসানুল হক আমীম</t>
  </si>
  <si>
    <t>KAZI IHSANUL HAQUE AMEEM</t>
  </si>
  <si>
    <t>মোঃ মাহমুদুল হক</t>
  </si>
  <si>
    <t>MD. MAHMUDUL HAQUE</t>
  </si>
  <si>
    <t>বিবাহ নিবন্ধক</t>
  </si>
  <si>
    <t>01711819811</t>
  </si>
  <si>
    <t xml:space="preserve">আজিম সুলতানা </t>
  </si>
  <si>
    <t>TAZIM SULTANA</t>
  </si>
  <si>
    <t>01715012058</t>
  </si>
  <si>
    <t>SRI-00336</t>
  </si>
  <si>
    <t>20145114314109877</t>
  </si>
  <si>
    <t xml:space="preserve">উত্তর আউচপারা,তামীরুল মিল্লাত রোড,এরশাদনগর,টঙ্গী,গাজীপুর </t>
  </si>
  <si>
    <t xml:space="preserve">বশিকপুর,সদর </t>
  </si>
  <si>
    <t xml:space="preserve">মুকাদ্দামাতুল কুরআন একাডেমী </t>
  </si>
  <si>
    <t>01742595542</t>
  </si>
  <si>
    <t>Tajim Sultana</t>
  </si>
  <si>
    <t>আবৃত্তিতেও আছে</t>
  </si>
  <si>
    <t>তাজিম সুলতানা</t>
  </si>
  <si>
    <t>উত্তর আউচপারা,তামীরুল মিল্লাত রোড,এরশাদনগর,টঙ্গী,গাজীপুর</t>
  </si>
  <si>
    <t>বশিকপুর,সদর</t>
  </si>
  <si>
    <t>মুকাদ্দামাতুল কুরআন একাডেমী</t>
  </si>
  <si>
    <t>তাহিয়াতুন নুর</t>
  </si>
  <si>
    <t>TAHIYATUN NUR</t>
  </si>
  <si>
    <t>মোঃ সাখাওয়াত হোসাইন</t>
  </si>
  <si>
    <t>MD. SAKHAWAT HOSSAIN</t>
  </si>
  <si>
    <t>01924339328</t>
  </si>
  <si>
    <t>তাহনিয়া ইভা</t>
  </si>
  <si>
    <t>TAHNIA EVA</t>
  </si>
  <si>
    <t>01791224831</t>
  </si>
  <si>
    <t>SRI-00189</t>
  </si>
  <si>
    <t>সায়দাবাদ,যাত্রাবাড়ি,ঢাকা</t>
  </si>
  <si>
    <t xml:space="preserve">নোয়াগাও,রামগঞ্জ </t>
  </si>
  <si>
    <t xml:space="preserve">ভর্তি হয়নি </t>
  </si>
  <si>
    <t xml:space="preserve">রফিকুল ইসলাম সাইমুম </t>
  </si>
  <si>
    <t>RAFIQUL ISLAM SAIMUM</t>
  </si>
  <si>
    <t>মোঃ সেলিম উদ্দিন</t>
  </si>
  <si>
    <t>MD. SALIM UDDIN</t>
  </si>
  <si>
    <t>01715532008</t>
  </si>
  <si>
    <t>রওশন আরা শান্তা</t>
  </si>
  <si>
    <t>ROWSHAN ARA SANTA</t>
  </si>
  <si>
    <t>01719297670</t>
  </si>
  <si>
    <t>SRI-00326</t>
  </si>
  <si>
    <t>২৩৩/৩,সৃতিধারা আ/এ,দনিয়া,কদমতলী,ঢাকা</t>
  </si>
  <si>
    <t>২৩৩/৩,সৃতিধারা আ/এ,দনিয়া,কদমতলী</t>
  </si>
  <si>
    <t xml:space="preserve">তামিরুল মিল্লাত কামিল মাদরাসা </t>
  </si>
  <si>
    <t>৯ম</t>
  </si>
  <si>
    <t>01632919905</t>
  </si>
  <si>
    <t>তাকলিমা ফাইরুজ তুবা</t>
  </si>
  <si>
    <t>TAKLIMA FAIRUJ TUBA</t>
  </si>
  <si>
    <t xml:space="preserve">মোঃ ইবনে তারেক শাহ্‌ </t>
  </si>
  <si>
    <t>MD. IBNE TAREQ SHAH</t>
  </si>
  <si>
    <t>01721685373</t>
  </si>
  <si>
    <t>জান্নাতুন নাঈম ঊর্মি</t>
  </si>
  <si>
    <t>JANNATUN NAIME URMI</t>
  </si>
  <si>
    <t>01780897913</t>
  </si>
  <si>
    <t>SRI-00410</t>
  </si>
  <si>
    <t>৫২২/৫,মিরপুর ২,ঢাকা</t>
  </si>
  <si>
    <t>৩২,গুয়াগ্রাম,পাঁচপীড়,বোদা</t>
  </si>
  <si>
    <t>পঞ্চগড়</t>
  </si>
  <si>
    <t>Iqra International School</t>
  </si>
  <si>
    <t>01533678881</t>
  </si>
  <si>
    <t>01701804415</t>
  </si>
  <si>
    <t>ibnetareq@gmail.com</t>
  </si>
  <si>
    <t>আবৃত্তিতেও আছে ,,,,,,,,,,,,,,,,(ভর্তি ২৫% এবং বেতন ৪০% ছাড়)</t>
  </si>
  <si>
    <t>মোঃ ইবনে তারেক শাহ্‌</t>
  </si>
  <si>
    <t>গানেও আছে ,,,,,,,,,,,,,,,,(ভর্তি ২৫% এবং বেতন ৪০% ছাড়)</t>
  </si>
  <si>
    <t>তাশফিন রুশদা জুবিন</t>
  </si>
  <si>
    <t>TASHFIN RUSHDA JUBIN</t>
  </si>
  <si>
    <t>SRI-00361</t>
  </si>
  <si>
    <t>20182692513652269</t>
  </si>
  <si>
    <t>মনিপুর উচ্চ বিদ্যালয়</t>
  </si>
  <si>
    <t>আফিফ আবরার</t>
  </si>
  <si>
    <t>AFIF ABRAR</t>
  </si>
  <si>
    <t>মোহাম্মদ মজিবর রহমান</t>
  </si>
  <si>
    <t>MOHAMMAD MOJIBOR RAHMAN</t>
  </si>
  <si>
    <t>01712386146</t>
  </si>
  <si>
    <t>আসমা আক্তার নাছিমা</t>
  </si>
  <si>
    <t>ASMA AKTER NASIMA</t>
  </si>
  <si>
    <t>01911764167</t>
  </si>
  <si>
    <t>SRI-00243</t>
  </si>
  <si>
    <t>পূর্ব মনিপুর, 1040/3/বি, মিরপুর-২, ঢাকা</t>
  </si>
  <si>
    <t>মেহেদীপুর, নয়াবাড়ী, শিবালয়, মানিকগঞ্জ</t>
  </si>
  <si>
    <t>আল-হেরা মডেল স্কুল অ্যান্ড মাদ্রাসা</t>
  </si>
  <si>
    <t>06</t>
  </si>
  <si>
    <t>01717449574</t>
  </si>
  <si>
    <t>Asma Akter Nasima</t>
  </si>
  <si>
    <t>গানেও ভর্তি  হয়েছে</t>
  </si>
  <si>
    <t>আবৃত্ভতি ও উপস্থাপনাতেও ভর্তি  হয়েছে</t>
  </si>
  <si>
    <t>মো: জুনায়েদ ইসলাম আবরার</t>
  </si>
  <si>
    <t>MD. JUNAYED ISLAM ABRAR</t>
  </si>
  <si>
    <t>আব্দুর রাজ্জাক সিকদার</t>
  </si>
  <si>
    <t>ABDUR RAZZAQUE SIKDAR</t>
  </si>
  <si>
    <t>01914602770</t>
  </si>
  <si>
    <t>জোসনা</t>
  </si>
  <si>
    <t>JOSNA</t>
  </si>
  <si>
    <t>01797002662</t>
  </si>
  <si>
    <t>SRI-00176</t>
  </si>
  <si>
    <t>রহমতবাগ, 130/110, ১নং গলি, পাটের বাগ, কদমতলি, ঢাকা</t>
  </si>
  <si>
    <t>তা’ লিমুল মিল্লাত ইসলামিয়া মাদ্রাসা</t>
  </si>
  <si>
    <t>মাদ্রাসা ( ১ম) + ন্দুনারি + নাজেরা</t>
  </si>
  <si>
    <t>a.razzaque207105@gmail.com</t>
  </si>
  <si>
    <t>সাদ ইবনে নজরুল</t>
  </si>
  <si>
    <t>SAAD IBN NAZRUL</t>
  </si>
  <si>
    <t>মো: নজরুল ইসলাম</t>
  </si>
  <si>
    <t>BANKER</t>
  </si>
  <si>
    <t>01916406980</t>
  </si>
  <si>
    <t>সায়মা শারমিন</t>
  </si>
  <si>
    <t>SAYEMA SHARMIN</t>
  </si>
  <si>
    <t>01740115371</t>
  </si>
  <si>
    <t>SRI-00151</t>
  </si>
  <si>
    <t>20192692024212943</t>
  </si>
  <si>
    <t>কেল্লার মোর, 2/1/এ, R N D ROAD,  লাল বাগ, লালবাগ, ঢাকা</t>
  </si>
  <si>
    <t>মহেশ্বর পাশা, মধ্যপাড়া রোড, কুয়েট, দৌলতপুর, খুলনা</t>
  </si>
  <si>
    <t>বুয়েট ইঞ্জিনিয়ারিং স্কুল এনড কলেজ</t>
  </si>
  <si>
    <t>say35776@gmail.com</t>
  </si>
  <si>
    <t>sayema zaman</t>
  </si>
  <si>
    <t>সামি ইবনে নজরুল</t>
  </si>
  <si>
    <t>SAMI IBN NAZRUL</t>
  </si>
  <si>
    <t>SRI-00153</t>
  </si>
  <si>
    <t>20202692024212928</t>
  </si>
  <si>
    <t>শিশু</t>
  </si>
  <si>
    <t>মাহাথির মাসরুর কাব্য</t>
  </si>
  <si>
    <t>MAHATHIR MASRUR KABYA</t>
  </si>
  <si>
    <t>মো: সজিবর রহমান</t>
  </si>
  <si>
    <t>MOHAMMAD MOJIBUR RAHMAN</t>
  </si>
  <si>
    <t>SRI-00149</t>
  </si>
  <si>
    <t>20145617883105153</t>
  </si>
  <si>
    <t>1040/3/B, পূর্ব মনিপুর, মিরপুর-২, ঢাকা</t>
  </si>
  <si>
    <t>মাদরাসা ই. বাইতুল মামুর</t>
  </si>
  <si>
    <t>6ষ্ঠ</t>
  </si>
  <si>
    <t>01912386146</t>
  </si>
  <si>
    <t>mojiboravub7@gmail.com</t>
  </si>
  <si>
    <t>Mojibor Rahman</t>
  </si>
  <si>
    <t>আফিক হোসেন</t>
  </si>
  <si>
    <t>AFIQ HOSSAIN</t>
  </si>
  <si>
    <t>01745389748</t>
  </si>
  <si>
    <t>আনজুয়ারা িখাতুন</t>
  </si>
  <si>
    <t>ANJUARA KHATUN</t>
  </si>
  <si>
    <t>01777398586</t>
  </si>
  <si>
    <t>SRI-00046</t>
  </si>
  <si>
    <t>20168726605173314</t>
  </si>
  <si>
    <t>দক্ষিন পীরেরবাগ, ১৪৭/২৪/এ, লেকভিউ সোসাইটি, আগারগাঁও-১২০৭, মিরপুর, ঢাকা</t>
  </si>
  <si>
    <t>মিয়া সাহেবের ডাঙ্গা, কাঁঠালতলা মোড়, এল্লার চর-৯৪০০, সাতক্ষীরা সদর, সাতক্ষীরা</t>
  </si>
  <si>
    <t>বিএ এফ শাহীন কলেজ</t>
  </si>
  <si>
    <t>কলাবতী/ দিবা শাখা/ বাংলা ভার্সন</t>
  </si>
  <si>
    <t>zakir.satkhira@gmail.com</t>
  </si>
  <si>
    <t>আয়ান মাহমুদ</t>
  </si>
  <si>
    <t>AYAN MAHMUD</t>
  </si>
  <si>
    <t>মো: আমিনুর রহমান</t>
  </si>
  <si>
    <t>MD. AMINUR RAHMAN</t>
  </si>
  <si>
    <t>01761547521</t>
  </si>
  <si>
    <t>মোছা: মাহমুদা বেগম</t>
  </si>
  <si>
    <t>MST. MAHMUDA BEGUM</t>
  </si>
  <si>
    <t>01718857586</t>
  </si>
  <si>
    <t>SRI-00138</t>
  </si>
  <si>
    <t>20193218213121326</t>
  </si>
  <si>
    <t>এজিবি কলোনী, বি-15/ই-7,  মতিঝিল, ঢাকা</t>
  </si>
  <si>
    <t>সাদুল্যাপুর, কলেজ রোড, সাদুল্যাপুর, গাইবান্ধা</t>
  </si>
  <si>
    <t>গাইবান্ধা</t>
  </si>
  <si>
    <t>আইডিয়ার স্কুল এন্ড কলেজ</t>
  </si>
  <si>
    <t>aminur.hro@gmail.com</t>
  </si>
  <si>
    <t>aminur.rahman.9862</t>
  </si>
  <si>
    <t>মো: তাহসিন মাহমুদ তুহিন</t>
  </si>
  <si>
    <t>MD. TAHSIN MAHMUD TUHIN</t>
  </si>
  <si>
    <t>মো: মনিরুল করিম</t>
  </si>
  <si>
    <t>MD. MONIRUL KARIM</t>
  </si>
  <si>
    <t>01720586635</t>
  </si>
  <si>
    <t>নাসিমা খাতুন</t>
  </si>
  <si>
    <t>NASIMA KHATUN</t>
  </si>
  <si>
    <t>01898245950</t>
  </si>
  <si>
    <t>SRI-00242</t>
  </si>
  <si>
    <t>শহীদ আজিম হল, বুটেক্স, তেজগাও, ঢাকা</t>
  </si>
  <si>
    <t>কুলিয়া, গুরুগ্রাম, দেবহাটা, সাতক্ষীরা</t>
  </si>
  <si>
    <t>বাংলাদেশ টেক্সটাইল বিশ্ববিদ্যালয়</t>
  </si>
  <si>
    <t>৪র্থ বর্ষ</t>
  </si>
  <si>
    <t>অ্যাপারেল ইঞ্জিনিয়ারিং</t>
  </si>
  <si>
    <t>01709822275</t>
  </si>
  <si>
    <t>tahsinmahmud10192@gmail.com</t>
  </si>
  <si>
    <t>নাবিগাহ নুর</t>
  </si>
  <si>
    <t>NABIGAH NOOR</t>
  </si>
  <si>
    <t>কে. এম. সাইফুল্লাহ ইসলামাবাদী</t>
  </si>
  <si>
    <t>K.M. SAIFULLAH ISLAMABADI</t>
  </si>
  <si>
    <t>01841617357</t>
  </si>
  <si>
    <t xml:space="preserve">ইয়াছমিন আকতার </t>
  </si>
  <si>
    <t>YESMIN AKTER</t>
  </si>
  <si>
    <t>01814217356</t>
  </si>
  <si>
    <t>SRI-00214</t>
  </si>
  <si>
    <t>20162692005219135</t>
  </si>
  <si>
    <t>রাজার বাগ, 112/1/বি, শাপলা কানন, বাসাবো, সবুজবাগ, ঢাকা</t>
  </si>
  <si>
    <t>মোলানা বাড়ী. প:আ ধু:, আধুনগর, লোহাগাড়া, চট্টগ্রাম</t>
  </si>
  <si>
    <t>চট্টগ্রাম</t>
  </si>
  <si>
    <t>আইডিয়াল স্কুল এন্ড কলেজ</t>
  </si>
  <si>
    <t>ইংরেঝি ভার্সন</t>
  </si>
  <si>
    <t>01974217357</t>
  </si>
  <si>
    <t xml:space="preserve">সুয়াইবা নুর </t>
  </si>
  <si>
    <t>SHUAIBA NUR</t>
  </si>
  <si>
    <t xml:space="preserve">মোঃ নজরুল ইসলাম মজুমদার </t>
  </si>
  <si>
    <t>MD. NAZRUL ISLAM MOJUMDER</t>
  </si>
  <si>
    <t>01711222726</t>
  </si>
  <si>
    <t xml:space="preserve">নুরজাহান আক্তার খানম </t>
  </si>
  <si>
    <t>NURJAHAN AKTER KHANAM</t>
  </si>
  <si>
    <t>01956925058</t>
  </si>
  <si>
    <t>SRI-00522</t>
  </si>
  <si>
    <t>৮,ব্লক এফ,বনশ্রী,রামপুরা,ঢাকা</t>
  </si>
  <si>
    <t>জয়নগর,ওয়ার্ড ৪,চাঁদগাজী,ছাগলনাইয়া</t>
  </si>
  <si>
    <t xml:space="preserve">মারকাজুল মারিফ বালিকা মাদ্রাসা </t>
  </si>
  <si>
    <t xml:space="preserve">জন্ম নিবন্ধন ও ছবি দেয়নি </t>
  </si>
  <si>
    <t>তাসনুর জান্নাত তানহা</t>
  </si>
  <si>
    <t>TASNUR JANNAT TANHA</t>
  </si>
  <si>
    <t>মোহাম্মদ ফরহাদ হোসেন</t>
  </si>
  <si>
    <t>MOHAMMAD FARHAD HOSSAIN</t>
  </si>
  <si>
    <t>01731273072</t>
  </si>
  <si>
    <t>মোছা হেলেনা খাতুন</t>
  </si>
  <si>
    <t>MST: HALANA KHATUN</t>
  </si>
  <si>
    <t>01731163399</t>
  </si>
  <si>
    <t>SRI-00569</t>
  </si>
  <si>
    <t>20156112372130998</t>
  </si>
  <si>
    <t>১৩/এফ/৬,সিঙ্গাপুর রোড,মাদারটেক,বাসাবো,সবুজবাগ,ঢাকা</t>
  </si>
  <si>
    <t>কান্দুলিয়া উত্তরপাড়া,তারুন্দীয়া,গৌরীপুর</t>
  </si>
  <si>
    <t>ময়মনসিংহ</t>
  </si>
  <si>
    <t>বেতন ৪০% ছাড়</t>
  </si>
  <si>
    <t xml:space="preserve">হুমামা আতিয়া মুজাইবা </t>
  </si>
  <si>
    <t>HUMAMA ATIYA MUZAIBA</t>
  </si>
  <si>
    <t>মোঃ ওমর ফারুখ নোমানী</t>
  </si>
  <si>
    <t>MD. OMAR FARUQUE NOMANY</t>
  </si>
  <si>
    <t>01638779747</t>
  </si>
  <si>
    <t xml:space="preserve">সুমা আক্তার </t>
  </si>
  <si>
    <t>SUMA AKTER</t>
  </si>
  <si>
    <t>01638779746</t>
  </si>
  <si>
    <t>SRI-00532</t>
  </si>
  <si>
    <t>20186715879515375</t>
  </si>
  <si>
    <t>ভুইগড়,কুতুবপুর,নারায়ণগঞ্জ সদর,নারায়ণগঞ্জ</t>
  </si>
  <si>
    <t>ভুইগড়,কুতুবপুর,নারায়ণগঞ্জ সদর</t>
  </si>
  <si>
    <t xml:space="preserve">তাযকিয়াতুল মিল্লাত হিফজ মাদরাসা </t>
  </si>
  <si>
    <t xml:space="preserve">আরবি মাধ্যমিক </t>
  </si>
  <si>
    <t>mmmahamedmusa@gmail.com</t>
  </si>
  <si>
    <t>Sumaia Suma</t>
  </si>
  <si>
    <t xml:space="preserve">আবৃত্তিতেও আছে ,,,,,,,,,,, (বেতন ২৫% ছাড়) </t>
  </si>
  <si>
    <t>হুমামা আতিয়া মুজাইবা</t>
  </si>
  <si>
    <t>সুমা আক্তার</t>
  </si>
  <si>
    <t>তাযকিয়াতুল মিল্লাত হিফজ মাদরাসা</t>
  </si>
  <si>
    <t>আরবি মাধ্যমিক</t>
  </si>
  <si>
    <t>গানেও আছে ,,,,,,,,,,, (বেতন ২৫% ছাড়)</t>
  </si>
  <si>
    <t>উম্মে আম্মারা মাহিরা</t>
  </si>
  <si>
    <t>UMME AMMARA MAHIRA</t>
  </si>
  <si>
    <t xml:space="preserve">মোঃ আমিনুল ইসলাম </t>
  </si>
  <si>
    <t>MD. AMINUL ISLAM</t>
  </si>
  <si>
    <t>01714622190</t>
  </si>
  <si>
    <t>মোমেনা খাতুন</t>
  </si>
  <si>
    <t>MOMENA KHATUN</t>
  </si>
  <si>
    <t>01835909882</t>
  </si>
  <si>
    <t>SRI-00530</t>
  </si>
  <si>
    <t>20183393318064282</t>
  </si>
  <si>
    <t>দক্ষিন তেলীপাড়া,হোমিওকলেজ রোড,চান্দনা চউরাস্তা,</t>
  </si>
  <si>
    <t xml:space="preserve">হোগলাবুনিয়া,মোড়েলগঞ্জ </t>
  </si>
  <si>
    <t>বাগেরহাট</t>
  </si>
  <si>
    <t>তা'মীরুল মিল্লাত কামিল মাদরাসা</t>
  </si>
  <si>
    <t>01759128287</t>
  </si>
  <si>
    <t>juaireyamaisha@gmail.com</t>
  </si>
  <si>
    <t>গানেও আছে ,,,,,,,,ছবি দেয়নি,,,,,,,,,,,(ভর্তি ও বেতন ৪০% ছাড়)</t>
  </si>
  <si>
    <t>মোঃ আমিনুল ইসলাম</t>
  </si>
  <si>
    <t>দক্ষিন তেলীপাড়া,হোমিওকলেজ রোড,চান্দনা চউরাস্তা,বাসন,গাজিপুর</t>
  </si>
  <si>
    <t>হোগলাবুনিয়া,মোড়েলগঞ্জ</t>
  </si>
  <si>
    <t>Juaireya Maisha</t>
  </si>
  <si>
    <t>আরৃত্তিতেওআছে ,,,,,,,,ছবি দেয়নি,,,,,,,,,,,(ভর্তি ও বেতন ৪০% ছাড়)</t>
  </si>
  <si>
    <t xml:space="preserve">আব্দুল্লাহ আল মানাল </t>
  </si>
  <si>
    <t>ABDULLAH AL MANAL</t>
  </si>
  <si>
    <t xml:space="preserve">মোঃ মোখলেছুর রহমান খান </t>
  </si>
  <si>
    <t>MD. MOKLESUR RAHMAN KHAN</t>
  </si>
  <si>
    <t>01916204347</t>
  </si>
  <si>
    <t xml:space="preserve">মোছা সুলতানা খাতুন </t>
  </si>
  <si>
    <t>MOSST. SULTANA KHATUN</t>
  </si>
  <si>
    <t>01718435364</t>
  </si>
  <si>
    <t>SRI-00554</t>
  </si>
  <si>
    <t xml:space="preserve">৯,রামপুরা,ঢাকা </t>
  </si>
  <si>
    <t xml:space="preserve">মনমযপুর,সোনাতলা </t>
  </si>
  <si>
    <t xml:space="preserve">ইকরা বাংলাদেশ স্কুল </t>
  </si>
  <si>
    <t>বাংলা</t>
  </si>
  <si>
    <t xml:space="preserve">জন্ম নিবন্ধন নাম্বার দেয়নি ,,,,,,,,,,,,,,,,, ( বেতন ৩০% ছাড়) </t>
  </si>
  <si>
    <t>ইশরাক শাহরিয়ার</t>
  </si>
  <si>
    <t>ISHRAK SAHRIAR</t>
  </si>
  <si>
    <t xml:space="preserve">মাহমুদুল কবির </t>
  </si>
  <si>
    <t>MAHOMUDUL KABIR</t>
  </si>
  <si>
    <t>01871582000</t>
  </si>
  <si>
    <t xml:space="preserve">মুশফিকা জান্নাত </t>
  </si>
  <si>
    <t>MUSHFIKA JANNAT</t>
  </si>
  <si>
    <t>01971542003</t>
  </si>
  <si>
    <t>SRI-00668</t>
  </si>
  <si>
    <t>20102613869287244</t>
  </si>
  <si>
    <t xml:space="preserve">১৩৮,খেজুরবাগ,পারগেন্ডারিয়া,সুভাঢ্যা,কেরানিগঞ্জ,ঢাকা </t>
  </si>
  <si>
    <t>১৩৮,খেজুরবাগ,পারগেন্ডারিয়া,সুভাঢ্যা,কেরানিগঞ্জ</t>
  </si>
  <si>
    <t>নুর মোহাম্মদ নুরু মিয়া হাই স্কুল</t>
  </si>
  <si>
    <t>১০ম</t>
  </si>
  <si>
    <t xml:space="preserve">বিজ্ঞান </t>
  </si>
  <si>
    <t>01970842584</t>
  </si>
  <si>
    <t>সিদরাতুন মুনতাহা মালাছি</t>
  </si>
  <si>
    <t>SIDRATUN MUNTAHA MALASI</t>
  </si>
  <si>
    <t>মাহমুদুল কবির</t>
  </si>
  <si>
    <t>মুশফিকা জান্নাত</t>
  </si>
  <si>
    <t>SRI-00545</t>
  </si>
  <si>
    <t>20182613869283404</t>
  </si>
  <si>
    <t>১৩৮,খেজুরবাগ,পারগেন্ডারিয়া,সুভাঢ্যা,কেরানিগঞ্জ,ঢাকা</t>
  </si>
  <si>
    <t xml:space="preserve">তালিমুল উম্মাহ ইসলামিয়া মাদরাসা </t>
  </si>
  <si>
    <t>গানেও আছে ,,,,,,,,,রক্তের গ্রুপ দেয়নি,,,,,,,,,,(বেতন ৪০% ছাড়)</t>
  </si>
  <si>
    <t>সিদরাতুল মুনতাহা মালাছি</t>
  </si>
  <si>
    <t>তালিমুল উম্মাহ ইসলামিয়া মাদরাসা</t>
  </si>
  <si>
    <t>আবৃত্তিতেও আছে,,,,,,,,রক্তের গ্রুপ দেয়নি,,,,,,,,,(বেতন ৪০% ছাড়)</t>
  </si>
  <si>
    <t xml:space="preserve">আয়িশাহ বিনতে হাসান  </t>
  </si>
  <si>
    <t>AYESHAH BINTE HASAN</t>
  </si>
  <si>
    <t>এ এস এম নাজমুল হাসান</t>
  </si>
  <si>
    <t>A.S.M. NAZMUL HASAN</t>
  </si>
  <si>
    <t>01815252641</t>
  </si>
  <si>
    <t xml:space="preserve">নুসরাত জাহান লিজা </t>
  </si>
  <si>
    <t>NUSRAT JAHAN LIZA</t>
  </si>
  <si>
    <t>01683230267</t>
  </si>
  <si>
    <t>SRI-00527</t>
  </si>
  <si>
    <t>20185116557110873</t>
  </si>
  <si>
    <t>১,শহরপল্লী আঃ এলাকা,ডেমরা,ঢাকা</t>
  </si>
  <si>
    <t xml:space="preserve">মজুপুর,রায়পুর সড়ক,পানপাড়া,রামগঞ্জ </t>
  </si>
  <si>
    <t xml:space="preserve">তানজীমুল উম্মাহ হিফজ মাদরাসা </t>
  </si>
  <si>
    <t>lizanaz150116@gmail.com</t>
  </si>
  <si>
    <t>Nusrat Jahan Liza</t>
  </si>
  <si>
    <t>আবৃত্তিতেও আছে,,,,,,,,,(বেতন ২০% ছাড়)</t>
  </si>
  <si>
    <t>আয়িশাহ বিনতে হাসান</t>
  </si>
  <si>
    <t>নুসরাত জাহান লিজা</t>
  </si>
  <si>
    <t>মজুপুর,রায়পুর সড়ক,পানপাড়া,রামগঞ্জ</t>
  </si>
  <si>
    <t>তানজীমুল উম্মাহ হিফজ মাদরাসা</t>
  </si>
  <si>
    <t>গানেও আছে,,,,,,,,,(বেতন ২০% ছাড়)</t>
  </si>
  <si>
    <t xml:space="preserve">নাফিছা তাবাছছুম জারা </t>
  </si>
  <si>
    <t>NAFISA TABASSUM ZARA</t>
  </si>
  <si>
    <t>শাহাজাহান খন্দকার</t>
  </si>
  <si>
    <t>SHAHAJAHAN KHANDAKER</t>
  </si>
  <si>
    <t xml:space="preserve">প্রবাসী </t>
  </si>
  <si>
    <t>01635585731</t>
  </si>
  <si>
    <t xml:space="preserve">রেহানা আক্তার </t>
  </si>
  <si>
    <t>REHANA AKTER</t>
  </si>
  <si>
    <t>SRI-00518</t>
  </si>
  <si>
    <t>20181314553108522</t>
  </si>
  <si>
    <t xml:space="preserve">মাতিয়াইল,ডেমরা,ঢাকা </t>
  </si>
  <si>
    <t xml:space="preserve">মানুরী,ঘনিয়া,ফরিদগঞ্জ,চাঁদপুর </t>
  </si>
  <si>
    <t>ওয়াফা হিফজ ইন্টারন্যাশনাল স্কুল</t>
  </si>
  <si>
    <t>আবৃত্তিতেও আছে,,,,,,,, রক্তের গ্রুপ দেয়নি,,,,,,,,,(বেতন ৩০% ছাড়)</t>
  </si>
  <si>
    <t>নাফিছা তাবাছছুম জারা</t>
  </si>
  <si>
    <t>প্রবাসী</t>
  </si>
  <si>
    <t>রেহানা আক্তার</t>
  </si>
  <si>
    <t>মানুরী,ঘনিয়া,ফরিদগঞ্জ,চাঁদপুর</t>
  </si>
  <si>
    <t>গানেও আছে,,,,,,,, রক্তের গ্রুপ দেয়নি,,,,,,,,,(বেতন ৩০% ছাড়)</t>
  </si>
  <si>
    <t>রানিয়া তাসনুভা</t>
  </si>
  <si>
    <t>RANIYA TASNUVA</t>
  </si>
  <si>
    <t xml:space="preserve">জেহাদ হোসেন </t>
  </si>
  <si>
    <t>ZEHAD HOSSEN</t>
  </si>
  <si>
    <t>01631818769</t>
  </si>
  <si>
    <t xml:space="preserve"> লুলু মারজান মুক্তা </t>
  </si>
  <si>
    <t>LULU MARJAN MUKTA</t>
  </si>
  <si>
    <t>01626932676</t>
  </si>
  <si>
    <t>SRI-00516</t>
  </si>
  <si>
    <t>20181323503118014</t>
  </si>
  <si>
    <t>৮৩/৪৬,মাতুয়াইল মিন্টু রোড,ডেমরা,ঢাকা</t>
  </si>
  <si>
    <t>মিরপুর,সেনালি বালিকা,ফরিদগঞ্জ</t>
  </si>
  <si>
    <t xml:space="preserve">ওয়াফা হিফজ ইন্টারন্যাশনাল স্কুল </t>
  </si>
  <si>
    <t>আবৃত্তিতেও আছে,,,,,,,,,,,,( বেতন ৪০% ছাড়)</t>
  </si>
  <si>
    <t>জেহাদ হোসেন</t>
  </si>
  <si>
    <t>লুলু মারজান মুক্তা</t>
  </si>
  <si>
    <t>গানেও আছে,,,,,,,,,,,,( বেতন ৪০% ছাড়)</t>
  </si>
  <si>
    <t>রোহান আব্দুল্লাহ</t>
  </si>
  <si>
    <t>ROHAN ABDULLAH</t>
  </si>
  <si>
    <t>SRI-00517</t>
  </si>
  <si>
    <t>20191323503118015</t>
  </si>
  <si>
    <t>আবৃত্তিতেও আছে,,,,,,,ছবি দেয়নি,,,,,( বেতন ৪০% ছাড়)</t>
  </si>
  <si>
    <t>গানেও আছে,,,,,,,ছবি দেয়নি,,,,,( বেতন ৪০% ছাড়)</t>
  </si>
  <si>
    <t>আফনান হাসান ফাহিম</t>
  </si>
  <si>
    <t>AFNAN HASAN FAHIM</t>
  </si>
  <si>
    <t>ফারুখ আহমাদ</t>
  </si>
  <si>
    <t>FARUK AHMAD</t>
  </si>
  <si>
    <t>01718154886</t>
  </si>
  <si>
    <t>তাছলিমা</t>
  </si>
  <si>
    <t>TASLIMA</t>
  </si>
  <si>
    <t>01747147830</t>
  </si>
  <si>
    <t>SRI-00523</t>
  </si>
  <si>
    <t xml:space="preserve">মাতুয়াইল টাওয়ার,হাজী বাদশাহ মিয়া রোড,তুষার পাড়া,যাত্রাবাড়ি,ঢাকা </t>
  </si>
  <si>
    <t>মাতুয়াইল টাওয়ার,হাজী বাদশাহ মিয়া রোড,তুষার পাড়া,যাত্রাবাড়ি</t>
  </si>
  <si>
    <t xml:space="preserve"> দারুন নাজাত একাডেমী </t>
  </si>
  <si>
    <t>অভিনয়েও আছে ,,,,,,,,,,,,,,( বেতন ৪০% ছাড়)</t>
  </si>
  <si>
    <t>মাতুয়াইল টাওয়ার,হাজী বাদশাহ মিয়া রোড,তুষার পাড়া,যাত্রাবাড়ি,ঢাকা</t>
  </si>
  <si>
    <t>দারুন নাজাত একাডেমী</t>
  </si>
  <si>
    <t>গানেও আছে ,,,,,,ছবি ও জন্ম নিবন্ধন দেয়নি,,,,,,,,( বেতন ৪০% ছাড়)</t>
  </si>
  <si>
    <t>ফাহমিদা সুলতানা লাবিবা</t>
  </si>
  <si>
    <t>FAHMEDA SULTANA LABIBA</t>
  </si>
  <si>
    <t>SRI-00587</t>
  </si>
  <si>
    <t>20172692060021883</t>
  </si>
  <si>
    <t>কেরাতেও আছে ,,,,,,,,,,,,,,( বেতন ৪০% ছাড়)</t>
  </si>
  <si>
    <t>FAMEDA SULTANA LABIBA</t>
  </si>
  <si>
    <t>গানেও আছে ,,,,,,,ছবি দেয়নি ,,,,,,,( বেতন ৪০% ছাড়)</t>
  </si>
  <si>
    <t>রুফাইদা তাফান্নুম বিনতে শাহাদাত</t>
  </si>
  <si>
    <t>RUFAIDA TAFANNUM BINTE SHAHADAT</t>
  </si>
  <si>
    <t xml:space="preserve">মোঃ শাহাদাতুল ইসলাম </t>
  </si>
  <si>
    <t>MD. SHAHADATUL ISLAM</t>
  </si>
  <si>
    <t>01708137291</t>
  </si>
  <si>
    <t>জান্নাতুল ফেরদৌস</t>
  </si>
  <si>
    <t>JANNATUL FERDAOUS</t>
  </si>
  <si>
    <t>0174499643</t>
  </si>
  <si>
    <t>SRI-00535</t>
  </si>
  <si>
    <t>20182692516562960</t>
  </si>
  <si>
    <t xml:space="preserve">বাড়ি ২৫,রোড ৮,ব্লক এল,বনশ্রী,ঢাকা </t>
  </si>
  <si>
    <t xml:space="preserve">মিরিকপুর,রাধাপুর,লক্ষ্মীপুর </t>
  </si>
  <si>
    <t>RIGHTOUS INTERNATIONAL SCHOOL</t>
  </si>
  <si>
    <t>STD 1</t>
  </si>
  <si>
    <t>01744996432</t>
  </si>
  <si>
    <t xml:space="preserve">আবৃত্তিতেও আছে ,,,,,,,,,,,,,,(ভর্তি ৩০% এবং বেতন ২৫% ছাড়) </t>
  </si>
  <si>
    <t>মোঃ শাহাদাতুল ইসলাম</t>
  </si>
  <si>
    <t>বাড়ি ২৫,রোড ৮,ব্লক এল,বনশ্রী,ঢাকা</t>
  </si>
  <si>
    <t>মিরিকপুর,রাধাপুর,লক্ষ্মীপুর</t>
  </si>
  <si>
    <t>গানেও আছে ,,,,,,,,,,,,,,(ভর্তি ৩০% এবং বেতন ২৫% ছাড়)</t>
  </si>
  <si>
    <t>রুকাইয়া তারান্নুম বিনতে শাহাদাত</t>
  </si>
  <si>
    <t>RUQAIYA TARANNUM BINTE  SHAHADAT</t>
  </si>
  <si>
    <t>SRI-00505</t>
  </si>
  <si>
    <t>20212692516562958</t>
  </si>
  <si>
    <t>play</t>
  </si>
  <si>
    <t>আবৃত্তিতেও আছে ,,,,,,,,,,,,,,(ভর্তি ৩০% এবং বেতন ২৫% ছাড়)</t>
  </si>
  <si>
    <t>আফিফা আফরিন তুবা</t>
  </si>
  <si>
    <t>AFIFA AFRIN TUBA</t>
  </si>
  <si>
    <t>01606102152</t>
  </si>
  <si>
    <t>শাকুরা বিনতে হাসান</t>
  </si>
  <si>
    <t>SHAKURA BINTA HASAN</t>
  </si>
  <si>
    <t>ফার্মাসিস্ট</t>
  </si>
  <si>
    <t>01686197662</t>
  </si>
  <si>
    <t>SRI-00548</t>
  </si>
  <si>
    <t>20172692507295043</t>
  </si>
  <si>
    <t>৪০৫/৪এ, শেওরাপাড়া, কাফরুল, ঢাকা</t>
  </si>
  <si>
    <t>চোবাড়িয়া, ঝুমাইখিরি, আটমড়িয়া</t>
  </si>
  <si>
    <t>বি এ এফ শাহীন কলেজ</t>
  </si>
  <si>
    <t>বাংলা মিডিয়াম</t>
  </si>
  <si>
    <t>shakura.binta@gmail.com</t>
  </si>
  <si>
    <t>Tuba Moni</t>
  </si>
  <si>
    <t>লাবীবা ইসলাম</t>
  </si>
  <si>
    <t>LABIBA ISLAM</t>
  </si>
  <si>
    <t>মোঃ শহীদুল ইসলাম</t>
  </si>
  <si>
    <t>MD. SHAHIDUL ISLAM</t>
  </si>
  <si>
    <t>01827957732</t>
  </si>
  <si>
    <t>শাহীন জান্নাত জুমু</t>
  </si>
  <si>
    <t>SHAHIN ZANNAT ZOMO</t>
  </si>
  <si>
    <t>SRI-00566</t>
  </si>
  <si>
    <t>20142692065007894</t>
  </si>
  <si>
    <t>৭১/৩, ছায়াবীথি, হাজী বাদশামিয়া রোড, মাতুয়াইল, ডেমরা, ঢাকা</t>
  </si>
  <si>
    <t>মাতব্বর পাড়া, রাজাখালী, পেকুয়া</t>
  </si>
  <si>
    <t>তানজিমুল উম্মাহ মাদ্রাসা</t>
  </si>
  <si>
    <t>নাদিয়া ইসলাম</t>
  </si>
  <si>
    <t>NADIA ISLAM</t>
  </si>
  <si>
    <t>SRI-00567</t>
  </si>
  <si>
    <t>20162692065007895</t>
  </si>
  <si>
    <t>ফাতিন ইশরাক মাহিরা</t>
  </si>
  <si>
    <t>FATIN ISHRAQ MAHIRA</t>
  </si>
  <si>
    <t>মোঃ নুরুল আমীন সরদার</t>
  </si>
  <si>
    <t>MD. NURUL AMIN SARDAR</t>
  </si>
  <si>
    <t>01966263741</t>
  </si>
  <si>
    <t>আফসানা নাজনীন</t>
  </si>
  <si>
    <t>AFSANA NAZNEEN</t>
  </si>
  <si>
    <t>কম্পিউটার ইঞ্জিনিয়ার</t>
  </si>
  <si>
    <t>01949234257</t>
  </si>
  <si>
    <t>SRI-00556</t>
  </si>
  <si>
    <t>20162692006315224</t>
  </si>
  <si>
    <t>ফ্লাট-২/৪, বাড়ি-১০৩/৪/বি, উত্তর মুগদা কমিশনার গলী, সবুজবাগ, মুগদা, ঢাকা</t>
  </si>
  <si>
    <t>কাসেমাবাদ, গৌরনদী, বরিশাল</t>
  </si>
  <si>
    <t xml:space="preserve">লিটল এঞ্জেলস লার্নিং হোম </t>
  </si>
  <si>
    <t>afsananazneen10@gmail.com</t>
  </si>
  <si>
    <t>ওয়াসিলা আরাফা</t>
  </si>
  <si>
    <t>WASILA ARAFA</t>
  </si>
  <si>
    <t>এস এম সাহাব উদ্দিন</t>
  </si>
  <si>
    <t>S M SAHAB UDDIN</t>
  </si>
  <si>
    <t>01843355085</t>
  </si>
  <si>
    <t>লুৎফন আক্তার</t>
  </si>
  <si>
    <t>LUTFON AKTER</t>
  </si>
  <si>
    <t>01856710044</t>
  </si>
  <si>
    <t>SRI-00572</t>
  </si>
  <si>
    <t>20171517488108091</t>
  </si>
  <si>
    <t>জেনিন গার্ডেন, নিউ টাউন, মাতুয়াইল, ডেমরা, ঢাকা</t>
  </si>
  <si>
    <t>মইশকরম, উরকিওচর, বাউজান</t>
  </si>
  <si>
    <t>সামসুল হক খান স্কুল এন্ড কলেজ</t>
  </si>
  <si>
    <t>sihab57.54@gmail.com</t>
  </si>
  <si>
    <t>ওয়াজিহ আব্দুল্লাহ আতিক</t>
  </si>
  <si>
    <t>WAZIH ABDULLAH ATIK</t>
  </si>
  <si>
    <t>ডা. মোঃ একরামুল হক</t>
  </si>
  <si>
    <t>DR. MD. EKRAMUL HUQUE</t>
  </si>
  <si>
    <t>ডাক্তার</t>
  </si>
  <si>
    <t>01719852697</t>
  </si>
  <si>
    <t>নাজনীন পারভীন</t>
  </si>
  <si>
    <t>NAZNIN PARVIN</t>
  </si>
  <si>
    <t>01736276733</t>
  </si>
  <si>
    <t>SRI-00519</t>
  </si>
  <si>
    <t>১০৮/বি, চৌধুরীপাড়া, খিলগাঁও, ঢাকা</t>
  </si>
  <si>
    <t>বাদুড়িয়া, জামিয়া, চারঘাট</t>
  </si>
  <si>
    <t>ইসলামিক ইন্টারন্যাশনাল স্কুল &amp; কলেজ</t>
  </si>
  <si>
    <t>কেজি - ১</t>
  </si>
  <si>
    <t>আহমাদ বিন আবছার তাওহীদ</t>
  </si>
  <si>
    <t>AHMAD BIN ABSAR TAWHID</t>
  </si>
  <si>
    <t>মোহাম্মদ নুরুল আবছার</t>
  </si>
  <si>
    <t>MOHAMMAD NURUL ANSAR</t>
  </si>
  <si>
    <t>01716397540</t>
  </si>
  <si>
    <t>তাসলিমা আক্তার</t>
  </si>
  <si>
    <t>TASLIMA AKTER</t>
  </si>
  <si>
    <t>01830123648</t>
  </si>
  <si>
    <t>SRI-00711</t>
  </si>
  <si>
    <t>20157528301163297</t>
  </si>
  <si>
    <t>৩৭/১, পল্টন, পুরানা পল্টন, ঢাকা</t>
  </si>
  <si>
    <t>মাইজদী বাজার, নোয়াখালী সদর</t>
  </si>
  <si>
    <t>ইউনাইটেড মডেল মাদ্রাসা</t>
  </si>
  <si>
    <t>taslimasumaiy@gmail.com</t>
  </si>
  <si>
    <t>Taslima Sumaiya</t>
  </si>
  <si>
    <t>আহনাফ বিন আবছার তাশরীফ</t>
  </si>
  <si>
    <t>AHNAF BIN ABSAR TASHRIF</t>
  </si>
  <si>
    <t>SRI-00710</t>
  </si>
  <si>
    <t>20177528301163294</t>
  </si>
  <si>
    <t xml:space="preserve">মোঃ ফাহিম আবরার রাফি </t>
  </si>
  <si>
    <t>MD FAHIM ABRAR RAFI</t>
  </si>
  <si>
    <t xml:space="preserve">মোঃ আমিনুর রহমান </t>
  </si>
  <si>
    <t>MD AMINUR RAHMAN</t>
  </si>
  <si>
    <t>01716463399</t>
  </si>
  <si>
    <t xml:space="preserve">নার্গিস ফারজানা </t>
  </si>
  <si>
    <t>NARGIS FARZANA</t>
  </si>
  <si>
    <t>01799313488</t>
  </si>
  <si>
    <t>SRI-00581</t>
  </si>
  <si>
    <t>20142692011185652</t>
  </si>
  <si>
    <t>২৪/বি,সেগুন বাগিচা,শাহবাগ,ঢাকা</t>
  </si>
  <si>
    <t>পুখুরিয়া,সাতিয়ানতলা,বাঘারপাড়া</t>
  </si>
  <si>
    <t>segun bagicha high school</t>
  </si>
  <si>
    <t>01914242808</t>
  </si>
  <si>
    <t>জুবাইর মুহাম্মাদ আব্দুল্লাহ</t>
  </si>
  <si>
    <t>ZUBAIR MUHAMMAD ABDULLAH</t>
  </si>
  <si>
    <t>মোঃ মিজানুর রহমান</t>
  </si>
  <si>
    <t>MD. MIZANUR RAHMAN</t>
  </si>
  <si>
    <t>01717450707</t>
  </si>
  <si>
    <t>মোছাঃ মুনমুন আক্তার মনি</t>
  </si>
  <si>
    <t>MST. MUNMUN AKTER MONE</t>
  </si>
  <si>
    <t>01671370771</t>
  </si>
  <si>
    <t>SRI-00529</t>
  </si>
  <si>
    <t>20188111256103411</t>
  </si>
  <si>
    <t>১৮/১৬, মেরুল বাড্ডা, গুলশান, ঢাকা</t>
  </si>
  <si>
    <t>আলোকনগর, গোয়ালকান্দী, বাগমারা</t>
  </si>
  <si>
    <t>ইসলামিক ইন্টারন্যাশনাল স্কুল</t>
  </si>
  <si>
    <t>mizan.ac.bd@gmail.com</t>
  </si>
  <si>
    <t xml:space="preserve">তাসনীম ফারহান মাহীর </t>
  </si>
  <si>
    <t>TASNEEM FARHAN MAHEER</t>
  </si>
  <si>
    <t>মাহমুদ মোস্তফা</t>
  </si>
  <si>
    <t>MAHMUD MOSTAFA</t>
  </si>
  <si>
    <t>01712613526</t>
  </si>
  <si>
    <t xml:space="preserve">ফারহানা ইয়াসমিন মিতু </t>
  </si>
  <si>
    <t>FARHANA EASMIN MITU</t>
  </si>
  <si>
    <t>01793087317</t>
  </si>
  <si>
    <t>SRI-00577</t>
  </si>
  <si>
    <t>20154123703035938</t>
  </si>
  <si>
    <t xml:space="preserve">৮,রূপনগর,মিরপুর ২ ঢাকা </t>
  </si>
  <si>
    <t>এস মনজিল,আলিয়া মাদরাসা রোড,কেশবপুর</t>
  </si>
  <si>
    <t>Averroes International School</t>
  </si>
  <si>
    <t>STD 4</t>
  </si>
  <si>
    <t xml:space="preserve">কেরাতেও আছে </t>
  </si>
  <si>
    <t>গানেও আছে</t>
  </si>
  <si>
    <t xml:space="preserve">আব্দুল্লাহ আল নোমান তালহা </t>
  </si>
  <si>
    <t>ABDULLAH AL NOMAN TALHA</t>
  </si>
  <si>
    <t xml:space="preserve">মোঃ শরিফুল ইসলাম </t>
  </si>
  <si>
    <t>MD SHARIFUL ISLAM</t>
  </si>
  <si>
    <t>01716479542</t>
  </si>
  <si>
    <t xml:space="preserve">তাহমিনা খাতুন </t>
  </si>
  <si>
    <t>TAHMINA KHATUN</t>
  </si>
  <si>
    <t>01731253531</t>
  </si>
  <si>
    <t>SRI-00666</t>
  </si>
  <si>
    <t>20127625514138272</t>
  </si>
  <si>
    <t>১,৩৩,ব্লক ই,রামপুরা,ঢাকা</t>
  </si>
  <si>
    <t>ছাতিয়ানী,পাবনা সদর</t>
  </si>
  <si>
    <t xml:space="preserve">আইডিয়াল স্কুল এন্ড কলেজ </t>
  </si>
  <si>
    <t>sharif25177@gmail.com</t>
  </si>
  <si>
    <t>Tahmina Islam</t>
  </si>
  <si>
    <t xml:space="preserve">অভিনয়েও আছে </t>
  </si>
  <si>
    <t xml:space="preserve">মোঃ তৌফিক ওমর </t>
  </si>
  <si>
    <t>MD TOWFIK OMAR</t>
  </si>
  <si>
    <t xml:space="preserve">মোঃ তৈয়ব আলী </t>
  </si>
  <si>
    <t xml:space="preserve">MD TOYEB ALI </t>
  </si>
  <si>
    <t>01920296735</t>
  </si>
  <si>
    <t xml:space="preserve">মোছা নুরজাহান খাতুন </t>
  </si>
  <si>
    <t>MST NURJAHAN KHATUN</t>
  </si>
  <si>
    <t>SRI-00600</t>
  </si>
  <si>
    <t>ড. মুহম্মদ শহীদুল্লাহ হল,ঢাকা বিশ্ববিদ্যালয়,রমনা,ঢাকা</t>
  </si>
  <si>
    <t>নতিডাঙ্গা,মুন্সিগঞ্জ,আলমডাঙ্গা</t>
  </si>
  <si>
    <t xml:space="preserve">ঢাকা বিশ্ববিদ্যালয় </t>
  </si>
  <si>
    <t>শহ-০৬৫</t>
  </si>
  <si>
    <t>মৎস্যবিজ্ঞান</t>
  </si>
  <si>
    <t>01966156220</t>
  </si>
  <si>
    <t>omormdtowfik@gmail.com</t>
  </si>
  <si>
    <t>Md Towfik Omor</t>
  </si>
  <si>
    <t xml:space="preserve">আব্দুল্লাহ আল মাহমুদ </t>
  </si>
  <si>
    <t>ABDULLAH AL MAHMUD</t>
  </si>
  <si>
    <t xml:space="preserve">মোহাম্মদ মিজানুর রহমান </t>
  </si>
  <si>
    <t xml:space="preserve">MOHAMMAD MIZANUR RAHMAN </t>
  </si>
  <si>
    <t>0123</t>
  </si>
  <si>
    <t xml:space="preserve">নাছিমা বেগম </t>
  </si>
  <si>
    <t xml:space="preserve">NASIMA BEGUM </t>
  </si>
  <si>
    <t>SRI-00597</t>
  </si>
  <si>
    <t>মকিমাবাদ,হাজীগঞ্জ,চাঁদপুর</t>
  </si>
  <si>
    <t>লাওকোরা বড়বাড়ী, হাটিলা টঙ্গিরপাড়,হাজীগঞ্জ</t>
  </si>
  <si>
    <t xml:space="preserve"> তা’মীরুল মিল্লাত কামিল মাদরাসা</t>
  </si>
  <si>
    <t xml:space="preserve">কামিল </t>
  </si>
  <si>
    <t xml:space="preserve">হাদিস বিভাগ </t>
  </si>
  <si>
    <t>01731730941</t>
  </si>
  <si>
    <t>01317630451</t>
  </si>
  <si>
    <t>aalmahmud2033@gmail.com</t>
  </si>
  <si>
    <t>Abdullah AL Mahmud(পিয়াস)</t>
  </si>
  <si>
    <t xml:space="preserve">জাতীয় পরিচয়পত্র দেয়নি  </t>
  </si>
  <si>
    <t xml:space="preserve">মোঃ আব্দুল্লাহ ফারহান শাহি </t>
  </si>
  <si>
    <t>MD ABDULLAH FARHAN SHAHI</t>
  </si>
  <si>
    <t xml:space="preserve">MD AMINUR RAHMAN </t>
  </si>
  <si>
    <t xml:space="preserve">NARGIS FARZANA </t>
  </si>
  <si>
    <t>SRI-00665</t>
  </si>
  <si>
    <t>20122692013163394</t>
  </si>
  <si>
    <t xml:space="preserve">২৪/বি,সেগুন বাগিচা,শাহবাগ,ঢাকা </t>
  </si>
  <si>
    <t xml:space="preserve">মতিঝিল মডেল স্কুল </t>
  </si>
  <si>
    <t>Nargis Farzana</t>
  </si>
  <si>
    <t xml:space="preserve">আহমাদ জুহাইম </t>
  </si>
  <si>
    <t>AHMAD JUHAEEM</t>
  </si>
  <si>
    <t xml:space="preserve">নাসির আহমদ </t>
  </si>
  <si>
    <t>NASIR AHMED</t>
  </si>
  <si>
    <t>01712836355</t>
  </si>
  <si>
    <t xml:space="preserve">নাঈমা বিনতে আজিজ </t>
  </si>
  <si>
    <t>NAIMA BINTE AZIZ</t>
  </si>
  <si>
    <t>01533236074</t>
  </si>
  <si>
    <t>SRI-00555</t>
  </si>
  <si>
    <t xml:space="preserve">বাড়ি ৯,রোড ৩,ব্লক এফ,বনশ্রী,রামপুরা,ঢাকা </t>
  </si>
  <si>
    <t xml:space="preserve">বাঞ্চানগর,দারুল আমান একাডেমী রোড,লক্ষ্মীপুর সদর </t>
  </si>
  <si>
    <t xml:space="preserve">স্কুল অব দ্যা ন্যাশন </t>
  </si>
  <si>
    <t xml:space="preserve">গ্রেড ফোর </t>
  </si>
  <si>
    <t>ahmadjuhaeem@gmail.com</t>
  </si>
  <si>
    <t xml:space="preserve">জোহানা ইসলাম সুবাইতা </t>
  </si>
  <si>
    <t xml:space="preserve">JOHANA ISLAM SUBAITA </t>
  </si>
  <si>
    <t xml:space="preserve">মোহাম্মদ জহিরুল ইসলাম আখন্দ </t>
  </si>
  <si>
    <t xml:space="preserve">MOHAMMAD JAHIRUL ISLAM AKHOND </t>
  </si>
  <si>
    <t>01817533932</t>
  </si>
  <si>
    <t xml:space="preserve">সুমাইয়া আফরিন </t>
  </si>
  <si>
    <t xml:space="preserve">SUMAIYA AFRIN </t>
  </si>
  <si>
    <t>01889171056</t>
  </si>
  <si>
    <t>SRI-00524</t>
  </si>
  <si>
    <t>20201314930108015</t>
  </si>
  <si>
    <t xml:space="preserve">নর্থ ভিউ,খিলগাঁও,ঢাকা </t>
  </si>
  <si>
    <t xml:space="preserve">দেশগাও,আখন্দ বাড়ী,কাশিমপুর,হাজীগঞ্জ </t>
  </si>
  <si>
    <t>THE EDUCATORS</t>
  </si>
  <si>
    <t>01918516724</t>
  </si>
  <si>
    <t>jahirakhond@gmail.com</t>
  </si>
  <si>
    <t xml:space="preserve">তুরাস আরহাম </t>
  </si>
  <si>
    <t xml:space="preserve">TURAS ARHAM </t>
  </si>
  <si>
    <t xml:space="preserve">আব্দুল্লাহেল বাকী </t>
  </si>
  <si>
    <t>ABDULLAHEL BAKI</t>
  </si>
  <si>
    <t>01716318244</t>
  </si>
  <si>
    <t xml:space="preserve">তানবীর তানিয়া </t>
  </si>
  <si>
    <t xml:space="preserve">TANBIR TANIA </t>
  </si>
  <si>
    <t>01873318244</t>
  </si>
  <si>
    <t>SRI-00501</t>
  </si>
  <si>
    <t xml:space="preserve">১৮,১,বাড্ডা,ঢাকা </t>
  </si>
  <si>
    <t xml:space="preserve">সুজানগর,সুজানগর </t>
  </si>
  <si>
    <t xml:space="preserve">নাই </t>
  </si>
  <si>
    <t xml:space="preserve">ছবি ও জন্ম নিবন্ধন দেয়নি </t>
  </si>
  <si>
    <t>ফাতিহা ফরহাদ রাহিজা</t>
  </si>
  <si>
    <t>FATIHA FARHAD RAHIJA</t>
  </si>
  <si>
    <t>মোঃ ফরহাদ উদ্দিন</t>
  </si>
  <si>
    <t>MD. FARHAD UDDIN</t>
  </si>
  <si>
    <t>সরকারি কর্মকর্তা</t>
  </si>
  <si>
    <t>01842386767</t>
  </si>
  <si>
    <t>তাছলিমা বেগম</t>
  </si>
  <si>
    <t>TASLIMA BEGUM</t>
  </si>
  <si>
    <t>01818262485</t>
  </si>
  <si>
    <t>SRI-00652</t>
  </si>
  <si>
    <t>20185117323126832</t>
  </si>
  <si>
    <t>সবুজকানন, ৪৪ নং বাড়ি, ৭নং রোড।</t>
  </si>
  <si>
    <t>সোনালিগ্রাম, রামগতি, লক্ষীপুর।</t>
  </si>
  <si>
    <t>O−</t>
  </si>
  <si>
    <t>মতিঝিল আইডিয়াল স্কুল এন্ড কলেজ।</t>
  </si>
  <si>
    <t>Farhad681@gmail.com</t>
  </si>
  <si>
    <t>শ্রেনি/বর্ষ, রোল,মোবাইল অনলাইন নেই।</t>
  </si>
  <si>
    <t xml:space="preserve">NAZIF ADNAN </t>
  </si>
  <si>
    <t xml:space="preserve">আরওয়া যাহিন সাইবা </t>
  </si>
  <si>
    <t>ARWA ZAHIN SAYEBA</t>
  </si>
  <si>
    <t xml:space="preserve">মুহাম্মদ ছাইফুল্লাহ </t>
  </si>
  <si>
    <t>MD SAIFULLAH</t>
  </si>
  <si>
    <t>01716673119</t>
  </si>
  <si>
    <t xml:space="preserve">শামিমা নাসরীন সাথী </t>
  </si>
  <si>
    <t>SHAMIMA NASRIN SHATHI</t>
  </si>
  <si>
    <t>01684579526</t>
  </si>
  <si>
    <t>SRI-00503</t>
  </si>
  <si>
    <t>20202692055154339</t>
  </si>
  <si>
    <t xml:space="preserve">১৮৩/৭/ডি,ঝিগাতলা,হাজারীবাগ,ঢাকা </t>
  </si>
  <si>
    <t xml:space="preserve">চিথলিয়া,পাড়েরহাট,পিরোজপুর </t>
  </si>
  <si>
    <t>পিরোজপুর</t>
  </si>
  <si>
    <t xml:space="preserve">হাফেজ আব্দুর রহমান জামেয়া ইসলামিয়া </t>
  </si>
  <si>
    <t>আফিয়া যাহিন সাদিয়া</t>
  </si>
  <si>
    <t xml:space="preserve">AFIA ZAHIN SADIA </t>
  </si>
  <si>
    <t>মুহাম্মদ ছাইফুল্লাহ</t>
  </si>
  <si>
    <t>শামিমা নাসরীন সাথী</t>
  </si>
  <si>
    <t>SHAMIMA NASRIN SHATHE</t>
  </si>
  <si>
    <t>SRI-00507</t>
  </si>
  <si>
    <t>20192692055154267</t>
  </si>
  <si>
    <t>মাহজুবা মুহান্নী ইজাফা</t>
  </si>
  <si>
    <t>MAHZUBA MUHANNI IZAFA</t>
  </si>
  <si>
    <t>মোঃ জসীম উদ্দীন</t>
  </si>
  <si>
    <t>MD. JASHIM UDDIN</t>
  </si>
  <si>
    <t>01768339555</t>
  </si>
  <si>
    <t>সালমা আখতার</t>
  </si>
  <si>
    <t>SALMA AKHTER</t>
  </si>
  <si>
    <t>01554305755</t>
  </si>
  <si>
    <t>SRI-00999</t>
  </si>
  <si>
    <t>20142692536087743</t>
  </si>
  <si>
    <t>শান্তিনগর, ঢাকা</t>
  </si>
  <si>
    <t xml:space="preserve">রফিকপুর, বেগমগঞ্জ, নোয়াখালী </t>
  </si>
  <si>
    <t>রমনা আইডিয়াল দাখিল মাদরাসা</t>
  </si>
  <si>
    <t>Nazif Adnan</t>
  </si>
  <si>
    <t xml:space="preserve">আফিয়া নাঈমা জান্নাতী </t>
  </si>
  <si>
    <t>AFIA NAYMA JANNATY</t>
  </si>
  <si>
    <t>মোঃ আমিনুর রহমান</t>
  </si>
  <si>
    <t>SRI-00582</t>
  </si>
  <si>
    <t>20162692009196847</t>
  </si>
  <si>
    <t xml:space="preserve">২৪/বি,সেগুন বাগিচা,ঢাকা </t>
  </si>
  <si>
    <t xml:space="preserve">পুখুরিয়া,সাতিয়ানতলা,বাঘারপাড়া </t>
  </si>
  <si>
    <t xml:space="preserve">মতিঝিল আইডিয়াল স্কুল এন্ড কলেজ </t>
  </si>
  <si>
    <t>তুরহান আরবাব</t>
  </si>
  <si>
    <t>TURHAN ARBAB</t>
  </si>
  <si>
    <t>আব্দুল্লাহেল বাকী</t>
  </si>
  <si>
    <t>তানবীর তানিয়া</t>
  </si>
  <si>
    <t>TANBIR TANIA</t>
  </si>
  <si>
    <t>SRI-00537</t>
  </si>
  <si>
    <t>20177628706027153</t>
  </si>
  <si>
    <t>বাড্ডা, গুলশান, ঢাকা</t>
  </si>
  <si>
    <t>সুজানগর, পাবনা।</t>
  </si>
  <si>
    <t>Nazif adnan</t>
  </si>
  <si>
    <t>নাফিসা তাসনিমা</t>
  </si>
  <si>
    <t xml:space="preserve"> NAFISA TASNIMA</t>
  </si>
  <si>
    <t>মো: নূরে আলম</t>
  </si>
  <si>
    <t xml:space="preserve">NURA ALAM </t>
  </si>
  <si>
    <t>01712410550</t>
  </si>
  <si>
    <t xml:space="preserve">মুসলিমা খাতুন </t>
  </si>
  <si>
    <t>MUSLIMA KHATUN</t>
  </si>
  <si>
    <t>01717138966</t>
  </si>
  <si>
    <t>SRI-00592</t>
  </si>
  <si>
    <t>20152716079105868</t>
  </si>
  <si>
    <t xml:space="preserve">বাগানবাড়ি টাওয়ার, বাসাবো,ঢাকা </t>
  </si>
  <si>
    <t xml:space="preserve">নলবাড়ি,গোয়ালডিহি,খানসামা, দিনাজপুর </t>
  </si>
  <si>
    <t>দিনাজপুর</t>
  </si>
  <si>
    <t xml:space="preserve">মতিঝিল আইডিয়ার স্কুল এন্ড কলেজ </t>
  </si>
  <si>
    <t xml:space="preserve">বাংলা </t>
  </si>
  <si>
    <t>তাহমীদ আবরার</t>
  </si>
  <si>
    <t>TAHMID ABRAR</t>
  </si>
  <si>
    <t>SRI-00557</t>
  </si>
  <si>
    <t>20137628706021579</t>
  </si>
  <si>
    <t>বাড্ডা, গুলশান, ঢাকা।</t>
  </si>
  <si>
    <t xml:space="preserve">সিভিল এভিয়েশন স্কুল এন্ড কলেজ </t>
  </si>
  <si>
    <t xml:space="preserve">আহনাফ হাসান মাহির </t>
  </si>
  <si>
    <t>AHNAF HASAN MAHIR</t>
  </si>
  <si>
    <t xml:space="preserve">হযরত আলী </t>
  </si>
  <si>
    <t xml:space="preserve">HAZRAT ALI </t>
  </si>
  <si>
    <t>01711175550</t>
  </si>
  <si>
    <t xml:space="preserve">তাসলিমা মুক্তা </t>
  </si>
  <si>
    <t xml:space="preserve">TASLIMA MOKTA </t>
  </si>
  <si>
    <t>01707581448</t>
  </si>
  <si>
    <t>SRI-00630</t>
  </si>
  <si>
    <t>20202692063151259</t>
  </si>
  <si>
    <t xml:space="preserve">মাদ্রাসা রোড,যাত্রাবাড়ী,ঢাকা </t>
  </si>
  <si>
    <t xml:space="preserve">মাদরাসাতুল মানার একাডেমী </t>
  </si>
  <si>
    <t>01977316323</t>
  </si>
  <si>
    <t xml:space="preserve">আব্রিত্তিতেও আছে </t>
  </si>
  <si>
    <t xml:space="preserve">নুওয়াইসির আহমেদ </t>
  </si>
  <si>
    <t xml:space="preserve">NOWAISIR AHMED </t>
  </si>
  <si>
    <t xml:space="preserve">মোহাম্মদ আব্দুল হালিম </t>
  </si>
  <si>
    <t>MOHAMMAD ABDUL HALIM</t>
  </si>
  <si>
    <t xml:space="preserve">সরকারি চাকরি </t>
  </si>
  <si>
    <t>01764762322</t>
  </si>
  <si>
    <t>উম্মে জান্নাতুল মাওয়া</t>
  </si>
  <si>
    <t>UMME JANNATUL MAOWA</t>
  </si>
  <si>
    <t>01924629522</t>
  </si>
  <si>
    <t>SRI-00664</t>
  </si>
  <si>
    <t>20112692010059244</t>
  </si>
  <si>
    <t xml:space="preserve">মতিঝিল, ঢাকা </t>
  </si>
  <si>
    <t>আনন্দিপুর,বখতার মুনশী,সোনা গাজি, ফেনী</t>
  </si>
  <si>
    <t>মতিঝিল সরকারি বালক উচ্চ বিদ্যালয়</t>
  </si>
  <si>
    <t xml:space="preserve">ছবি দেয়া নেই </t>
  </si>
  <si>
    <t xml:space="preserve">MOHAMMAD ABDUL HALIM </t>
  </si>
  <si>
    <t>0192429522</t>
  </si>
  <si>
    <t>মায়েদা বিনতে মঈনুল</t>
  </si>
  <si>
    <t>MAYEDA BINTE MOINUL</t>
  </si>
  <si>
    <t>এ.কে.এম. মঈনুল হক</t>
  </si>
  <si>
    <t>A.K.M. MOINUL HAQUE</t>
  </si>
  <si>
    <t>01714595071</t>
  </si>
  <si>
    <t>সৈয়দা নুসরাত জাহান তন্নী</t>
  </si>
  <si>
    <t>SYEDA NUSRAT JAHAN TANNI</t>
  </si>
  <si>
    <t>01721376599</t>
  </si>
  <si>
    <t>SRI-00579</t>
  </si>
  <si>
    <t>20162611280132934</t>
  </si>
  <si>
    <t>কাকরাইল, রমনা ঢাকা</t>
  </si>
  <si>
    <t xml:space="preserve">উইলস লিটল ফ্লাওয়ার স্কুল এন্ড কলেজ </t>
  </si>
  <si>
    <t>ফাতিমা ফরহাদ রাদিয়া</t>
  </si>
  <si>
    <t>FATIMA FARHAD RADIA</t>
  </si>
  <si>
    <t xml:space="preserve">মো: ফরহাদ উদ্দিন </t>
  </si>
  <si>
    <t xml:space="preserve">Gov.service </t>
  </si>
  <si>
    <t xml:space="preserve">তাছলিমা বেগম </t>
  </si>
  <si>
    <t xml:space="preserve">TASLIMA BEGUM </t>
  </si>
  <si>
    <t>SRI-00651</t>
  </si>
  <si>
    <t>20165117323126833</t>
  </si>
  <si>
    <t xml:space="preserve">সবুজবাগ,মুগদা, ঢাকা </t>
  </si>
  <si>
    <t>সোনালি গ্রাম, আলেক বাজার, রামগতি, লক্ষীপুর</t>
  </si>
  <si>
    <t xml:space="preserve">ছবি দেওয়া নেই </t>
  </si>
  <si>
    <t>তাহসিনা তাবাসসুম ফাইজা</t>
  </si>
  <si>
    <t>TAHSINA TABASSUM FAIZA</t>
  </si>
  <si>
    <t>মোঃ শামছুল হক</t>
  </si>
  <si>
    <t>MD. SHAMSUL HAQUE</t>
  </si>
  <si>
    <t>01873224888</t>
  </si>
  <si>
    <t>শামীমা আক্তার</t>
  </si>
  <si>
    <t>Shamema Aktar</t>
  </si>
  <si>
    <t>01989000268</t>
  </si>
  <si>
    <t>SRI-00560</t>
  </si>
  <si>
    <t>সাভার, ঢাকা।</t>
  </si>
  <si>
    <t>বনগ্রাম, কিশোরগঞ্জ।</t>
  </si>
  <si>
    <t>জাহাঙ্গীরনগর সোসাইটি ল্যাবরেটরি স্কুল</t>
  </si>
  <si>
    <t>01873226888</t>
  </si>
  <si>
    <t>মুনতাহা মাহমুদ সারাহ</t>
  </si>
  <si>
    <t>MUNTAHA MAHMUD SARAH</t>
  </si>
  <si>
    <t xml:space="preserve">মো: এজাজ মাহমুদ </t>
  </si>
  <si>
    <t xml:space="preserve">MD. AJAJ MAHMUD </t>
  </si>
  <si>
    <t xml:space="preserve">PRIVATE SERVICE </t>
  </si>
  <si>
    <t>01990409323</t>
  </si>
  <si>
    <t xml:space="preserve">জেবা ইয়াসমিন </t>
  </si>
  <si>
    <t xml:space="preserve">ZABA YEASMIN </t>
  </si>
  <si>
    <t xml:space="preserve">HOUSE WIFE </t>
  </si>
  <si>
    <t>01744796826</t>
  </si>
  <si>
    <t>SRI-00514</t>
  </si>
  <si>
    <t>20206435066129661</t>
  </si>
  <si>
    <t xml:space="preserve">Sherpara,parabat, Mirpur (1216), Dhaka </t>
  </si>
  <si>
    <t>Dokkin hosenpur, mohadevpur, naogaon</t>
  </si>
  <si>
    <t xml:space="preserve">Ummah international school </t>
  </si>
  <si>
    <t>K G</t>
  </si>
  <si>
    <t>আবরান আলভী</t>
  </si>
  <si>
    <t>ABRAN ALIVI</t>
  </si>
  <si>
    <t xml:space="preserve">মো: রিয়াজ হোসেন </t>
  </si>
  <si>
    <t xml:space="preserve">MD. REAJ HOSSAIN </t>
  </si>
  <si>
    <t>01631113610</t>
  </si>
  <si>
    <t xml:space="preserve">জান্নাতুন নাঈম </t>
  </si>
  <si>
    <t>JANNATUN NAYEM</t>
  </si>
  <si>
    <t>01638059206</t>
  </si>
  <si>
    <t>SRI-00574</t>
  </si>
  <si>
    <t>20145114314109006</t>
  </si>
  <si>
    <t xml:space="preserve">ফায়ার সার্ভিস,ঢাকা </t>
  </si>
  <si>
    <t>রামনগর, পোদ্দার বাজার, লক্ষীপুর</t>
  </si>
  <si>
    <t>আরমানিটোলা উচ্চ বিদ্যালয়</t>
  </si>
  <si>
    <t xml:space="preserve">উমাইযা রাহমান </t>
  </si>
  <si>
    <t xml:space="preserve">UMAIZA RAHMAN </t>
  </si>
  <si>
    <t>মো: সাঈয়েদুর রহমান (সাঈদ)</t>
  </si>
  <si>
    <t>MD. SAYADUR RAHMAN (SAYED)</t>
  </si>
  <si>
    <t>01776600899</t>
  </si>
  <si>
    <t>মোছা: জান্নাতুল ফেরদৌস</t>
  </si>
  <si>
    <t xml:space="preserve">MST. JANNATUL FERDOUS </t>
  </si>
  <si>
    <t>01776158057</t>
  </si>
  <si>
    <t>SRI-00699</t>
  </si>
  <si>
    <t xml:space="preserve">মাতুয়াইল, ডেমরা,ঢাকা </t>
  </si>
  <si>
    <t xml:space="preserve">তানযীমুল উম্মাহ হিফয মাদ্রাসা </t>
  </si>
  <si>
    <t>01726088480</t>
  </si>
  <si>
    <t xml:space="preserve">জন্ম নিবন্ধন নাম্বার দেওয়া নাই </t>
  </si>
  <si>
    <t>মো: মুবাশ্বির আন নাফি</t>
  </si>
  <si>
    <t>MD. MUBASSIR AN NAFI</t>
  </si>
  <si>
    <t xml:space="preserve">মো:  মানিক হোসেন </t>
  </si>
  <si>
    <t xml:space="preserve">MD. MANIK HOSSAIN </t>
  </si>
  <si>
    <t>01756361899</t>
  </si>
  <si>
    <t>এস. এম. মুহশীনা নাহার মুহিব</t>
  </si>
  <si>
    <t>S.M. MOUSHEENA NAHAR MUHIB</t>
  </si>
  <si>
    <t xml:space="preserve"> নার্স</t>
  </si>
  <si>
    <t>01686328627</t>
  </si>
  <si>
    <t>SRI-00543</t>
  </si>
  <si>
    <t>20172692029165150</t>
  </si>
  <si>
    <t xml:space="preserve">দক্ষিণ গা,বাসাবো,সবুজবাগ,ঢাকা </t>
  </si>
  <si>
    <t xml:space="preserve">ইবনে সিনা মডেল স্কুল </t>
  </si>
  <si>
    <t xml:space="preserve">মাহমুদুর রহমান </t>
  </si>
  <si>
    <t>MAHMUDUR RAHMAN</t>
  </si>
  <si>
    <t xml:space="preserve">মামুনুর রহমান </t>
  </si>
  <si>
    <t>MAMUNUR RAHMAN</t>
  </si>
  <si>
    <t>01882537367</t>
  </si>
  <si>
    <t xml:space="preserve">মনোয়ারা বেগম </t>
  </si>
  <si>
    <t xml:space="preserve">MONOWARA BEGUM </t>
  </si>
  <si>
    <t>01877627296</t>
  </si>
  <si>
    <t>SRI-00585</t>
  </si>
  <si>
    <t>20112692034060376</t>
  </si>
  <si>
    <t xml:space="preserve">পীর সাহেবের গলি,শান্তিনগর, পল্টন,ঢাকা </t>
  </si>
  <si>
    <t>শংকরখালী,খালপাড়া,নবাবগঞ্জ</t>
  </si>
  <si>
    <t>STD-7</t>
  </si>
  <si>
    <t xml:space="preserve">English Medium </t>
  </si>
  <si>
    <t>01712114933</t>
  </si>
  <si>
    <t>monowara8081@gmail.com</t>
  </si>
  <si>
    <t xml:space="preserve">Mahi Tabassum Mahmud </t>
  </si>
  <si>
    <t xml:space="preserve">মাহাদিয়া রহমান তারান্নুম </t>
  </si>
  <si>
    <t>MAHDIA RAHMAN TARANNUM</t>
  </si>
  <si>
    <t>SRI-00509</t>
  </si>
  <si>
    <t>20202616247110077</t>
  </si>
  <si>
    <t xml:space="preserve">SCD </t>
  </si>
  <si>
    <t>ID-33409</t>
  </si>
  <si>
    <t xml:space="preserve">মুরসালিন বিন মুতালিব </t>
  </si>
  <si>
    <t>MURSALIN BIN MUTALIB</t>
  </si>
  <si>
    <t xml:space="preserve">মুতালিব মুনসী </t>
  </si>
  <si>
    <t xml:space="preserve">MUTALIB MUNSHI </t>
  </si>
  <si>
    <t>01721932656</t>
  </si>
  <si>
    <t xml:space="preserve">সুমাইয়া আক্তার </t>
  </si>
  <si>
    <t xml:space="preserve">SUMYA AKTER </t>
  </si>
  <si>
    <t>01714979499</t>
  </si>
  <si>
    <t>SRI-00657</t>
  </si>
  <si>
    <t>৬৫/০৫,মাতুয়াইল,ডেমরা,ঢাকা</t>
  </si>
  <si>
    <t xml:space="preserve">ফতেপট্রি,মুন্সিবাড়ী,শরীফাবাদ,মুকসুদপুর </t>
  </si>
  <si>
    <t xml:space="preserve">নিদাউল কুরআন মাদ্রাসা </t>
  </si>
  <si>
    <t>03</t>
  </si>
  <si>
    <t>01712348005</t>
  </si>
  <si>
    <t>saurav121.55@gmail.com</t>
  </si>
  <si>
    <t>Mutalib Munshi</t>
  </si>
  <si>
    <t>জাইমা আবসানা</t>
  </si>
  <si>
    <t>JAIMA  ABSANA</t>
  </si>
  <si>
    <t>মুহাম্মদ আসাদুল্লাহ</t>
  </si>
  <si>
    <t>MUHAMMAD ASADULLAH</t>
  </si>
  <si>
    <t>অ্যাডভোকেট</t>
  </si>
  <si>
    <t>01711440501</t>
  </si>
  <si>
    <t>জুয়ারিয়া তাবাছছুম</t>
  </si>
  <si>
    <t>ZUARIA TABASSUM</t>
  </si>
  <si>
    <t>01912415997</t>
  </si>
  <si>
    <t>SRI-00539</t>
  </si>
  <si>
    <t>জিপিজ. ১২২/৫, মহাখালী ওয়্যারলেস গেইট, গুলশান, বনানী, ঢাকা</t>
  </si>
  <si>
    <t>উত্তর চাঁদপুর, ক্যপারস ডাঙ্গা, দামুরহুদা</t>
  </si>
  <si>
    <t>মানারাত ঢাকা ইন্টারন্যাশনাল স্কুল অ্যান্ড কলেজ</t>
  </si>
  <si>
    <t>asad.iuk86@gmail.com</t>
  </si>
  <si>
    <t>Zuaria Tabassum</t>
  </si>
  <si>
    <t>রুফাইদা তারান্নুম</t>
  </si>
  <si>
    <t>RUFAIDA TARANNUM</t>
  </si>
  <si>
    <t>মাওলানা রুহুল আমিন সাদী (সাইমুম সাদী)</t>
  </si>
  <si>
    <t>MAWLANA RUHUL AMIN SADI (SAIMUM SADI)</t>
  </si>
  <si>
    <t>01317942433</t>
  </si>
  <si>
    <t>মুহসিনা তাকিয়া</t>
  </si>
  <si>
    <t>MUHSINA TAKIYA</t>
  </si>
  <si>
    <t>01778883583</t>
  </si>
  <si>
    <t>SRI-00531</t>
  </si>
  <si>
    <t>20199115985135581</t>
  </si>
  <si>
    <t>৪৫ নবাবগঞ্জ, পোস্তা, লালবাগ, ঢাকা</t>
  </si>
  <si>
    <t>ফালজুর, মুকিগঞ্জ, কানাইঘাট, সিলেট</t>
  </si>
  <si>
    <t>সিলেট</t>
  </si>
  <si>
    <t>লিটল এঞ্জেলস স্কুল</t>
  </si>
  <si>
    <t>ababilnew3@gmail.com</t>
  </si>
  <si>
    <t>symum.sadi/ al.isarah.794</t>
  </si>
  <si>
    <t>আবৃত্তিতে আছে</t>
  </si>
  <si>
    <t>গানে আছে</t>
  </si>
  <si>
    <t xml:space="preserve">মুবতাসিম মুতাহহারা মাধুর্য </t>
  </si>
  <si>
    <t>MUBTASIM MUTAHHARA MADHURJO</t>
  </si>
  <si>
    <t xml:space="preserve">মোঃ মোজাহিদুল ইসলাম </t>
  </si>
  <si>
    <t xml:space="preserve">MD MOZAHIDUL ISLAM </t>
  </si>
  <si>
    <t>01730373778</t>
  </si>
  <si>
    <t xml:space="preserve">ফারহানা আক্তার লাবনী </t>
  </si>
  <si>
    <t xml:space="preserve">FARHANA AKHTAR LABONY </t>
  </si>
  <si>
    <t xml:space="preserve">লেকচারার </t>
  </si>
  <si>
    <t>01751209256</t>
  </si>
  <si>
    <t>SRI-00565</t>
  </si>
  <si>
    <t>20168517317107494</t>
  </si>
  <si>
    <t xml:space="preserve">ফ্লাট ৮এ,বাড়ি ৬,রোড ২,রূপনগর আ/এ,মিরপুর ২,ঢাকা </t>
  </si>
  <si>
    <t>খামার নয়া বাড়ি,অন্নদানগর,পীরগাছা</t>
  </si>
  <si>
    <t>Shaheed Bir Uttam LT. Anwar Girls College</t>
  </si>
  <si>
    <t>01671829578</t>
  </si>
  <si>
    <t>madhurjosagc@gmail.com</t>
  </si>
  <si>
    <t xml:space="preserve">আবৃত্তিতেও আছে </t>
  </si>
  <si>
    <t xml:space="preserve">সানজিদ বিন সাব্বির </t>
  </si>
  <si>
    <t xml:space="preserve">SANJID BIN SABBIR </t>
  </si>
  <si>
    <t xml:space="preserve">সাব্বির আহমেদ গালিব </t>
  </si>
  <si>
    <t xml:space="preserve">SABBIR AHMED GALIB </t>
  </si>
  <si>
    <t>01728495947</t>
  </si>
  <si>
    <t xml:space="preserve">সুলতানা বিনতে সিদ্দিক </t>
  </si>
  <si>
    <t xml:space="preserve">SULTANA BINTE SIDDIQUE </t>
  </si>
  <si>
    <t>01934309989</t>
  </si>
  <si>
    <t>SRI-00553</t>
  </si>
  <si>
    <t>20177822501023356</t>
  </si>
  <si>
    <t xml:space="preserve">৫৯২ পশ্চিম শেওড়াপাড়া,মিরপুর,ঢাকা </t>
  </si>
  <si>
    <t xml:space="preserve">নতুনবাজার ০১ নং ওয়ার্ড,গলাচিপা </t>
  </si>
  <si>
    <t xml:space="preserve">এভারোজ ইন্টারন্যাশনাল স্কুল </t>
  </si>
  <si>
    <t>সাফওয়ান খান আব্দুল্লাহ</t>
  </si>
  <si>
    <t>SAFWAN KHAN ABDULLAH</t>
  </si>
  <si>
    <t>মোঃ আব্দুল্লাহ আল মামুন</t>
  </si>
  <si>
    <t>MD. ABDULLAH AL MAMUN</t>
  </si>
  <si>
    <t>01972682641</t>
  </si>
  <si>
    <t>শামীমা নাসরিন</t>
  </si>
  <si>
    <t>SHAMIMA NASRIN</t>
  </si>
  <si>
    <t>01959196458</t>
  </si>
  <si>
    <t>SRI-00552</t>
  </si>
  <si>
    <t>খান বাড়ী, পূর্ব পাড়া, নরেন্দ্রপুর, মদনপুর, নেত্রকোনা সদর, নেত্রকোনা</t>
  </si>
  <si>
    <t>নেত্রকোণা</t>
  </si>
  <si>
    <t>kiron.m1010@gmail.com</t>
  </si>
  <si>
    <t xml:space="preserve">সবরা বিনতে সাব্বির </t>
  </si>
  <si>
    <t xml:space="preserve">SOBRA BINTE SABBIR </t>
  </si>
  <si>
    <t>SRI-00511</t>
  </si>
  <si>
    <t>20207822501039702</t>
  </si>
  <si>
    <t xml:space="preserve">সাইয়্যেদা তাবিবা </t>
  </si>
  <si>
    <t xml:space="preserve">SAYEDA TABIBA </t>
  </si>
  <si>
    <t xml:space="preserve">মোঃ আবুল কালাম </t>
  </si>
  <si>
    <t xml:space="preserve">MD ABUL KALAM </t>
  </si>
  <si>
    <t>01721153437</t>
  </si>
  <si>
    <t xml:space="preserve">তানিয়া আফরোজ </t>
  </si>
  <si>
    <t xml:space="preserve">TANIA AFROJ </t>
  </si>
  <si>
    <t>01714968746</t>
  </si>
  <si>
    <t>SRI-00659</t>
  </si>
  <si>
    <t>20150411947102361</t>
  </si>
  <si>
    <t xml:space="preserve">ছায়াবিথী,হাজি বাদশাহ মিয়া রোড,মাতুয়াইল,ডেমরা </t>
  </si>
  <si>
    <t xml:space="preserve">লক্ষ্মীপুরা,বুকাবুনিয়া,বামনা </t>
  </si>
  <si>
    <t>বরগুনা</t>
  </si>
  <si>
    <t xml:space="preserve">৫ম </t>
  </si>
  <si>
    <t xml:space="preserve">এ এম ইশরাক শুহাইল </t>
  </si>
  <si>
    <t xml:space="preserve">A M ISHRAK SHUHAIL </t>
  </si>
  <si>
    <t xml:space="preserve">মোঃ তৈয়বুর রহমান </t>
  </si>
  <si>
    <t xml:space="preserve">MD TAIYUBUR RAHMAN </t>
  </si>
  <si>
    <t>01674412568</t>
  </si>
  <si>
    <t xml:space="preserve">ইফফাত আরা নিপা </t>
  </si>
  <si>
    <t xml:space="preserve">IFFAT ARA NIPA </t>
  </si>
  <si>
    <t>01682616360</t>
  </si>
  <si>
    <t>SRI-00640</t>
  </si>
  <si>
    <t>20148210757109133</t>
  </si>
  <si>
    <t xml:space="preserve">ব্যাংক কলোনি,সাভার,ঢাকা </t>
  </si>
  <si>
    <t xml:space="preserve">ভাতি খাল খুলা,বালিয়াকান্দি </t>
  </si>
  <si>
    <t>রাজবাড়ী</t>
  </si>
  <si>
    <t xml:space="preserve">জাবাল ই নুর আইডিয়াল মাদ্রাসা </t>
  </si>
  <si>
    <t>01718793031</t>
  </si>
  <si>
    <t>t.r.rahman1256@gmail.com</t>
  </si>
  <si>
    <t>Ishrak Shuhail</t>
  </si>
  <si>
    <t>এম এম শাফিন হাসান</t>
  </si>
  <si>
    <t xml:space="preserve"> M M SHAFIN HASAN</t>
  </si>
  <si>
    <t>এ বি এম কামরুল হাসান</t>
  </si>
  <si>
    <t>A B M KAMRUL HASAN</t>
  </si>
  <si>
    <t>01917702951</t>
  </si>
  <si>
    <t>উম্মে সালমা সুলতানা</t>
  </si>
  <si>
    <t>UMME SALMA SULTANA</t>
  </si>
  <si>
    <t>01726246039</t>
  </si>
  <si>
    <t>SRI-00561</t>
  </si>
  <si>
    <t>20132915631107923</t>
  </si>
  <si>
    <t>২০৬/৬/এ-৭, তিলপপাড়া, সবুজবাগ, খিলগাঁও, ঢাকা</t>
  </si>
  <si>
    <t>আশাপুর, ফকির বাড়ী, মধুখালী, ফরিদপুর</t>
  </si>
  <si>
    <t>ফরিদপুর</t>
  </si>
  <si>
    <t>ন্যাশনাল আইডিয়াল স্কুল</t>
  </si>
  <si>
    <t>mmsafinhasan2012@gmail.com</t>
  </si>
  <si>
    <t>shafinhasansadik</t>
  </si>
  <si>
    <t xml:space="preserve">ফাবিহা আফসারা নওশিন </t>
  </si>
  <si>
    <t xml:space="preserve">FABIHA AFSARA NOWSHIN </t>
  </si>
  <si>
    <t xml:space="preserve">মোহাম্মদ আক্তার হোসেন </t>
  </si>
  <si>
    <t xml:space="preserve">MOHAMMAD AKTER HOSSAIN </t>
  </si>
  <si>
    <t>01552361597</t>
  </si>
  <si>
    <t xml:space="preserve">আল হামারা জাহান </t>
  </si>
  <si>
    <t xml:space="preserve">AL HAMARA JAHAN </t>
  </si>
  <si>
    <t>01552577467</t>
  </si>
  <si>
    <t>SRI-00544</t>
  </si>
  <si>
    <t>20176715879409177</t>
  </si>
  <si>
    <t xml:space="preserve">৫০৭,ভুইগড়,কুতুবপুর,ফতুল্লা,নারায়ণগঞ্জ </t>
  </si>
  <si>
    <t>ছবি দেয়নি,,,,,,,,(বেতন ২৫% ছাড়)</t>
  </si>
  <si>
    <t xml:space="preserve">নাদমান আহমেদ </t>
  </si>
  <si>
    <t xml:space="preserve">MD NADMAN AHMED </t>
  </si>
  <si>
    <t xml:space="preserve">MD ABDUL HALIM </t>
  </si>
  <si>
    <t xml:space="preserve">সরকারী চাকরি </t>
  </si>
  <si>
    <t xml:space="preserve">উম্মে জান্নাতুল মাওয়া </t>
  </si>
  <si>
    <t xml:space="preserve">UMME JANNATUL MAOWA </t>
  </si>
  <si>
    <t>SRI-00576</t>
  </si>
  <si>
    <t>20152692019109988</t>
  </si>
  <si>
    <t xml:space="preserve">বি/৯৮/৮,হাসপাতাল জোন,মতিঝিল,ঢাকা </t>
  </si>
  <si>
    <t xml:space="preserve">আনন্দিপুর,বখতার মুনশী,সোনাগাজী </t>
  </si>
  <si>
    <t xml:space="preserve">বাইতুল মামুর ছালেহিয়া হাফেজিয়া মাদরাসা </t>
  </si>
  <si>
    <t xml:space="preserve">সাওদা সাদিকা নুর </t>
  </si>
  <si>
    <t xml:space="preserve">SAWDA SADIKA NUR </t>
  </si>
  <si>
    <t xml:space="preserve">শহীদুল্লাহ </t>
  </si>
  <si>
    <t xml:space="preserve">SHAHIDULLAH </t>
  </si>
  <si>
    <t>01818780149</t>
  </si>
  <si>
    <t xml:space="preserve">বিবি খাদিজা নুর </t>
  </si>
  <si>
    <t xml:space="preserve">BIBI KHADIJA NUR </t>
  </si>
  <si>
    <t>01828309974</t>
  </si>
  <si>
    <t>SRI-00578</t>
  </si>
  <si>
    <t xml:space="preserve">২৮/১,শেখেরটেক,আদাবর,মোহাম্মদপুর,ঢাকা </t>
  </si>
  <si>
    <t>মজলিশপুর,তাকিয়া বাজার,সোনাগাজী</t>
  </si>
  <si>
    <t xml:space="preserve">আল মানার লিলবানাত </t>
  </si>
  <si>
    <t>skhadijanur1990@gmail.com</t>
  </si>
  <si>
    <t>Bibi Khadija Noor</t>
  </si>
  <si>
    <t xml:space="preserve">জন্ম নিবন্ধন দেয়নি </t>
  </si>
  <si>
    <t>আনিকা জান্নাত তাহিয়া</t>
  </si>
  <si>
    <t>ANISA JANNAT TAHIA</t>
  </si>
  <si>
    <t>মোঃ হাফিজুর রহমান</t>
  </si>
  <si>
    <t>MD. HAFIJUR RAHMAN</t>
  </si>
  <si>
    <t>01716148998</t>
  </si>
  <si>
    <t>NAJMA AKTER</t>
  </si>
  <si>
    <t>01722224671</t>
  </si>
  <si>
    <t>SRI-00521</t>
  </si>
  <si>
    <t>20192692011248476</t>
  </si>
  <si>
    <t>২২৯, উত্তর শাহজাহানপুর, শাহজাহানপুর, ঢাকা</t>
  </si>
  <si>
    <t>সাফা বন্দর, ধানীসাফা, মঠবাড়িয়া, পিরোজপুর</t>
  </si>
  <si>
    <t xml:space="preserve">কাশফিয়া হামিদ </t>
  </si>
  <si>
    <t xml:space="preserve">KASHFIA HAMID </t>
  </si>
  <si>
    <t xml:space="preserve">কায়সার হামীদ </t>
  </si>
  <si>
    <t xml:space="preserve">KAISAR HAMED </t>
  </si>
  <si>
    <t>01924819578</t>
  </si>
  <si>
    <t xml:space="preserve">জাকিয়া সুলতানা </t>
  </si>
  <si>
    <t xml:space="preserve">JAKIA SULTANA </t>
  </si>
  <si>
    <t>01867518058</t>
  </si>
  <si>
    <t>SRI-00563</t>
  </si>
  <si>
    <t xml:space="preserve">তুষারধারা,কদমতলি,ঢাকা </t>
  </si>
  <si>
    <t xml:space="preserve">ক্ষুহিলপুর,হাজীবাড়ি,ইলিয়টগঞ্জ,চান্দিনা </t>
  </si>
  <si>
    <t xml:space="preserve">উম্মুল কোরআন একাডেমী </t>
  </si>
  <si>
    <t>kashfia360@gmail.com</t>
  </si>
  <si>
    <t>আবৃত্তিতেও আছে,,,,,,,,,,,,,,জন্ম নিবন্ধন ও রক্তের গ্রুপ দেয়নি</t>
  </si>
  <si>
    <t>গানেও আছে,,,,,,,,,,,,,,জন্ম নিবন্ধন ও রক্তের গ্রুপ দেয়নি</t>
  </si>
  <si>
    <t xml:space="preserve">আরিবা ওয়াজিহা তাহিয়্যা </t>
  </si>
  <si>
    <t xml:space="preserve">ARIBA WAZIHA TAHIYYA </t>
  </si>
  <si>
    <t xml:space="preserve">আল আমিন </t>
  </si>
  <si>
    <t xml:space="preserve">AL AMIN </t>
  </si>
  <si>
    <t xml:space="preserve">শিক্ষক </t>
  </si>
  <si>
    <t>01771487301</t>
  </si>
  <si>
    <t xml:space="preserve">ফরিদা তামান্না </t>
  </si>
  <si>
    <t xml:space="preserve">FARIDA TAMANNA </t>
  </si>
  <si>
    <t>01729370748</t>
  </si>
  <si>
    <t>SRI-00550</t>
  </si>
  <si>
    <t xml:space="preserve">বাইতুন নাসির,ব্যাংক কলোনি,সাভার,ঢাকা </t>
  </si>
  <si>
    <t xml:space="preserve">আমিনাবাদ,চরফ্যাশন </t>
  </si>
  <si>
    <t>ভোলা</t>
  </si>
  <si>
    <t>aribawajiha17@gmail.com</t>
  </si>
  <si>
    <t xml:space="preserve">আবৃত্তিতেও আছে ,,,,,,,,,, জন্ম নিবন্ধন দেয়নি </t>
  </si>
  <si>
    <t xml:space="preserve">গানেও আছে ,,,,,,,,,, জন্ম নিবন্ধন ও ছবি দেয়নি </t>
  </si>
  <si>
    <t xml:space="preserve">জাওয়াদ আব্দুল্লাহ </t>
  </si>
  <si>
    <t xml:space="preserve">JAWAD ABDULLAH </t>
  </si>
  <si>
    <t xml:space="preserve">মহিব উল্লাহ </t>
  </si>
  <si>
    <t xml:space="preserve">MD MOHIB ULLAH </t>
  </si>
  <si>
    <t>01712655646</t>
  </si>
  <si>
    <t xml:space="preserve">AYESHA AKTER </t>
  </si>
  <si>
    <t>01791419515</t>
  </si>
  <si>
    <t>SRI-00643</t>
  </si>
  <si>
    <t>20125122506111610</t>
  </si>
  <si>
    <t xml:space="preserve">লক্ষ্মীপুর ৬ নং ওয়ার্ড, লক্ষ্মীপুর সদর,লক্ষ্মীপুর </t>
  </si>
  <si>
    <t xml:space="preserve">আল আমানাহ ইন্টারন্যাশনাল মাদরাসা </t>
  </si>
  <si>
    <t>09</t>
  </si>
  <si>
    <t>01308739754</t>
  </si>
  <si>
    <t xml:space="preserve">Jawad Abdullah </t>
  </si>
  <si>
    <t>থিয়েটারেও আছে</t>
  </si>
  <si>
    <t>নাজিব আবরার রাইয়্যান</t>
  </si>
  <si>
    <t>NAZIB ABRAR RAIYAN</t>
  </si>
  <si>
    <t>রফিকুল ইসলাম</t>
  </si>
  <si>
    <t>RAFIQUL ISLAM</t>
  </si>
  <si>
    <t>01966332967</t>
  </si>
  <si>
    <t>নাসরীন সুলতানা</t>
  </si>
  <si>
    <t>NASRIN SULTANA</t>
  </si>
  <si>
    <t>01749424682</t>
  </si>
  <si>
    <t>SRI-00533</t>
  </si>
  <si>
    <t>২৭/৬, উত্তরা, সেক্টর ১৩, উত্তরা পশ্চিম, ঢাকা</t>
  </si>
  <si>
    <t>টি-৮৯, হাউজিং এস্ট্রেট, খালিশপুর, খুলনা</t>
  </si>
  <si>
    <t>মাদরাসাতুল কুরআন হিফজ মাঃ উত্তরা</t>
  </si>
  <si>
    <t>01737338546</t>
  </si>
  <si>
    <t xml:space="preserve">নাসের আব্দুল্লাহ </t>
  </si>
  <si>
    <t xml:space="preserve">NASER ABDULLAH </t>
  </si>
  <si>
    <t xml:space="preserve">মোহাম্মদ নজরুল ইসলাম </t>
  </si>
  <si>
    <t xml:space="preserve">MOHAMMAD NAZRUL ISLAM </t>
  </si>
  <si>
    <t>01728318871</t>
  </si>
  <si>
    <t xml:space="preserve">ইয়াসমিন বেগম </t>
  </si>
  <si>
    <t xml:space="preserve">EASMIN BEGUM </t>
  </si>
  <si>
    <t>01757138682</t>
  </si>
  <si>
    <t>SRI-00624</t>
  </si>
  <si>
    <t xml:space="preserve">৭৭/১ কাটাসুর,শেরে বাংলা রোড,মোহাম্মদপুর,ঢাকা </t>
  </si>
  <si>
    <t xml:space="preserve">চরশুভী,দৌলতপুর,বোরহানউদ্দিন </t>
  </si>
  <si>
    <t xml:space="preserve">ঢাকা রেসিডেনসিয়াল মডেল কলেজ </t>
  </si>
  <si>
    <t>১২শ</t>
  </si>
  <si>
    <t>01862111027</t>
  </si>
  <si>
    <t>01627189316</t>
  </si>
  <si>
    <t>nayeknaser2009@gmail.com</t>
  </si>
  <si>
    <t>Abdullah Naik</t>
  </si>
  <si>
    <t xml:space="preserve">আহম্মদ তালহা তাহমিদ বিন শাহাদাত </t>
  </si>
  <si>
    <t xml:space="preserve">AHAMMAD TALHA TAHMID BIN SAHADATH </t>
  </si>
  <si>
    <t xml:space="preserve">আবু শাহাদাৎ চৌধুরী </t>
  </si>
  <si>
    <t>ABU SAHADATH CHAUDHURY</t>
  </si>
  <si>
    <t>01926800844</t>
  </si>
  <si>
    <t xml:space="preserve">সুরাইয়া ইয়াছমিন </t>
  </si>
  <si>
    <t xml:space="preserve">SURAIYA YASMIN </t>
  </si>
  <si>
    <t>01620085950</t>
  </si>
  <si>
    <t>SRI-00499</t>
  </si>
  <si>
    <t>07175657</t>
  </si>
  <si>
    <t xml:space="preserve">৩৮/ঘ/২দিলু রোড ,ইস্কাটন, রমনা,ঢাকা </t>
  </si>
  <si>
    <t xml:space="preserve">মিরজানগর,ঘোষকামতা,সোনাইমুড়ি </t>
  </si>
  <si>
    <t xml:space="preserve">আদ্‌ দীন হিফজ ইংলিশ স্কুল </t>
  </si>
  <si>
    <t xml:space="preserve">STD-2 </t>
  </si>
  <si>
    <t>01926800849</t>
  </si>
  <si>
    <t>sahadath101@gmail.com</t>
  </si>
  <si>
    <t>ছবি দেয়নি,জন্ম নিবন্ধন নাম্বারের স্থলে পাসপোর্ট নাম্বার দিয়েছে</t>
  </si>
  <si>
    <t xml:space="preserve">আহম্মদ তাইহান তাহমিদ বিন শাহাদাৎ </t>
  </si>
  <si>
    <t>AHAMMAD TAYHAN TAHMID BIN SHAHADATH</t>
  </si>
  <si>
    <t>SRI-00607</t>
  </si>
  <si>
    <t>07175658</t>
  </si>
  <si>
    <t xml:space="preserve">STD-4 </t>
  </si>
  <si>
    <t>আব্দুল্লাহ রাইয়ান আবির</t>
  </si>
  <si>
    <t>ABDULLAH RAIYAN ABIR</t>
  </si>
  <si>
    <t>মোঃ নজরুল ইসলাম</t>
  </si>
  <si>
    <t>01715074337</t>
  </si>
  <si>
    <t>আসমা আক্তার লাকী</t>
  </si>
  <si>
    <t>ASMA AKTHER LACKY</t>
  </si>
  <si>
    <t>01717251288</t>
  </si>
  <si>
    <t>SRI-00052</t>
  </si>
  <si>
    <t>১৪৪/এণ/এ, নতুন রাস্তা, হাজারীবাগ, ঢাকা</t>
  </si>
  <si>
    <t>বিভীষণ কাঠি, বিনয়কাঠি, ঝালকাঠি</t>
  </si>
  <si>
    <t>ঝালকাঠি</t>
  </si>
  <si>
    <t>দারুল উলুম তালিমুল কুরআন</t>
  </si>
  <si>
    <t>Abir Ahmad Abir</t>
  </si>
  <si>
    <t xml:space="preserve">ইখতিয়ার আহমেদ মুবিন </t>
  </si>
  <si>
    <t xml:space="preserve">IKHTIAAR AHMED MUBIN </t>
  </si>
  <si>
    <t xml:space="preserve">মোকছেদ আলম মঞ্জু </t>
  </si>
  <si>
    <t xml:space="preserve">MOKSED ALAM MUBIN </t>
  </si>
  <si>
    <t>01755541426</t>
  </si>
  <si>
    <t xml:space="preserve">নুরজাহান ইয়েসমিন </t>
  </si>
  <si>
    <t xml:space="preserve">NURJAHAN YESMIN </t>
  </si>
  <si>
    <t>01676692162</t>
  </si>
  <si>
    <t>SRI-00363</t>
  </si>
  <si>
    <t xml:space="preserve">বাড়ি ১,রোড ৮,ব্লক ডি,বনশ্রী,রামপুরা,ঢাকা </t>
  </si>
  <si>
    <t xml:space="preserve">আদর্শগ্রাম,দরবেশবাড়ি,নাতিরাঙ্গা </t>
  </si>
  <si>
    <t>খাগড়াছড়ি</t>
  </si>
  <si>
    <t xml:space="preserve">ফয়জুর রহমান আইডিয়াল স্কুল </t>
  </si>
  <si>
    <t>01610363707</t>
  </si>
  <si>
    <t>minimahmed016@gmail.com</t>
  </si>
  <si>
    <t>monjualam11</t>
  </si>
  <si>
    <t>খালেদ সাইফুল্লাহ জাহিদ</t>
  </si>
  <si>
    <t>KHALEDA SAIFULLAH JAHID</t>
  </si>
  <si>
    <t>মোঃ জামাল হোসেন</t>
  </si>
  <si>
    <t>MD. JAMAL HOSSAIN</t>
  </si>
  <si>
    <t>01711445689</t>
  </si>
  <si>
    <t>শাহীন আক্তার</t>
  </si>
  <si>
    <t>SHAHIN AKHTER</t>
  </si>
  <si>
    <t>01790590271</t>
  </si>
  <si>
    <t>SRI-00621</t>
  </si>
  <si>
    <t>20102692034049780</t>
  </si>
  <si>
    <t>১৩১ সিদ্দিক বাজার স্থায়ী ঠিকানা : রামনগর</t>
  </si>
  <si>
    <t>লক্ষ্মীপুর সদর/রামগঞ্জ</t>
  </si>
  <si>
    <t>তামিরুল মিল্লাত কামিল মাদ্রাসা , যাত্রাবাড়ী</t>
  </si>
  <si>
    <t>নাদীদ মুবাররাত</t>
  </si>
  <si>
    <t>NADID MUBARRAT</t>
  </si>
  <si>
    <t>মোঃ নাজিমুল হক</t>
  </si>
  <si>
    <t>MD NAZIMUL HOQUE</t>
  </si>
  <si>
    <t>01978568841</t>
  </si>
  <si>
    <t>হুমাইরা শাহীন</t>
  </si>
  <si>
    <t>HOMAIRA SHAHIN</t>
  </si>
  <si>
    <t>01979029029</t>
  </si>
  <si>
    <t>SRI-00625</t>
  </si>
  <si>
    <t>ব-৩৯, বাড্ডা, ঢাকা</t>
  </si>
  <si>
    <t>করল, ভাটি খাইন, পটিয়া, চট্টগ্রাম</t>
  </si>
  <si>
    <t>01834652699</t>
  </si>
  <si>
    <t>আফিফ আল-আমিন</t>
  </si>
  <si>
    <t>AFIF AL-AMIN</t>
  </si>
  <si>
    <t>Businessman</t>
  </si>
  <si>
    <t>মুসাম্মৎ রোকেয়া বেগম</t>
  </si>
  <si>
    <t>Musammat Rokeya Begum</t>
  </si>
  <si>
    <t>Housewife</t>
  </si>
  <si>
    <t>57/1/D Rumon's Heritage, Lake Circus, Kalabagan, Dhaka</t>
  </si>
  <si>
    <t>Dhaka City College</t>
  </si>
  <si>
    <t>2nd year (HSC examinee)</t>
  </si>
  <si>
    <t>Science</t>
  </si>
  <si>
    <t>01975026137</t>
  </si>
  <si>
    <t>armya59111318@gmail.com</t>
  </si>
  <si>
    <t>Yes</t>
  </si>
  <si>
    <t>মো:জাবের</t>
  </si>
  <si>
    <t>MD. JABER</t>
  </si>
  <si>
    <t xml:space="preserve">ওসমান গনি </t>
  </si>
  <si>
    <t>Osman Goni</t>
  </si>
  <si>
    <t xml:space="preserve">Businessmen </t>
  </si>
  <si>
    <t>01875421970</t>
  </si>
  <si>
    <t xml:space="preserve">সুলতানা আক্তার </t>
  </si>
  <si>
    <t>Sultana aktar</t>
  </si>
  <si>
    <t xml:space="preserve">housewife </t>
  </si>
  <si>
    <t>01846090121</t>
  </si>
  <si>
    <t>SRI-00623</t>
  </si>
  <si>
    <t xml:space="preserve">খামারবাড়ি </t>
  </si>
  <si>
    <t xml:space="preserve">রতনপুর </t>
  </si>
  <si>
    <t xml:space="preserve">দারুন নাজাত সিদ্দিকিয়া কামিল মাদ্রাসা </t>
  </si>
  <si>
    <t>অনার্স (১)</t>
  </si>
  <si>
    <t xml:space="preserve">হাদীস </t>
  </si>
  <si>
    <t>01609498976</t>
  </si>
  <si>
    <t>jaberjse@gmail.com</t>
  </si>
  <si>
    <t>MD.Jaber jr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</si>
</sst>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"/>
    <numFmt numFmtId="165" formatCode="m/d/yyyy"/>
  </numFmts>
  <fonts count="13">
    <font>
      <sz val="10.0"/>
      <color rgb="FF000000"/>
      <name val="Arial"/>
      <scheme val="minor"/>
    </font>
    <font>
      <color theme="1"/>
      <name val="Arial"/>
      <scheme val="minor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color theme="1"/>
      <name val="Arial"/>
    </font>
    <font>
      <u/>
      <color rgb="FF0000FF"/>
      <name val="Roboto"/>
    </font>
    <font>
      <u/>
      <color rgb="FF434343"/>
      <name val="Roboto"/>
    </font>
    <font>
      <u/>
      <color rgb="FF434343"/>
      <name val="Arial"/>
    </font>
    <font>
      <u/>
      <color rgb="FF0000FF"/>
      <name val="Arial"/>
    </font>
    <font>
      <u/>
      <color rgb="FF1155CC"/>
      <name val="Arial"/>
    </font>
    <font>
      <u/>
      <color rgb="FF1155CC"/>
      <name val="Arial"/>
    </font>
    <font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2" fontId="3" numFmtId="0" xfId="0" applyAlignment="1" applyFill="1" applyFont="1">
      <alignment shrinkToFit="0" vertical="bottom" wrapText="0"/>
    </xf>
    <xf borderId="0" fillId="3" fontId="4" numFmtId="0" xfId="0" applyAlignment="1" applyFill="1" applyFont="1">
      <alignment shrinkToFit="0" vertical="bottom" wrapText="0"/>
    </xf>
    <xf borderId="0" fillId="2" fontId="5" numFmtId="0" xfId="0" applyAlignment="1" applyFont="1">
      <alignment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6" numFmtId="0" xfId="0" applyAlignment="1" applyFont="1">
      <alignment readingOrder="0" shrinkToFit="0" vertical="center" wrapText="0"/>
    </xf>
    <xf borderId="0" fillId="3" fontId="5" numFmtId="0" xfId="0" applyAlignment="1" applyFont="1">
      <alignment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7" numFmtId="0" xfId="0" applyAlignment="1" applyFont="1">
      <alignment readingOrder="0" shrinkToFit="0" vertical="center" wrapText="0"/>
    </xf>
    <xf borderId="0" fillId="4" fontId="1" numFmtId="164" xfId="0" applyAlignment="1" applyFill="1" applyFont="1" applyNumberFormat="1">
      <alignment readingOrder="0" shrinkToFit="0" vertical="center" wrapText="0"/>
    </xf>
    <xf borderId="0" fillId="4" fontId="1" numFmtId="14" xfId="0" applyAlignment="1" applyFont="1" applyNumberFormat="1">
      <alignment readingOrder="0" shrinkToFit="0" vertical="center" wrapText="0"/>
    </xf>
    <xf borderId="0" fillId="4" fontId="1" numFmtId="0" xfId="0" applyAlignment="1" applyFont="1">
      <alignment readingOrder="0" shrinkToFit="0" vertical="center" wrapText="0"/>
    </xf>
    <xf quotePrefix="1" borderId="0" fillId="4" fontId="1" numFmtId="0" xfId="0" applyAlignment="1" applyFont="1">
      <alignment readingOrder="0" shrinkToFit="0" vertical="center" wrapText="0"/>
    </xf>
    <xf borderId="0" fillId="3" fontId="5" numFmtId="0" xfId="0" applyAlignment="1" applyFont="1">
      <alignment shrinkToFit="0" vertical="bottom" wrapText="0"/>
    </xf>
    <xf borderId="0" fillId="4" fontId="1" numFmtId="0" xfId="0" applyAlignment="1" applyFont="1">
      <alignment shrinkToFit="0" vertical="center" wrapText="0"/>
    </xf>
    <xf borderId="0" fillId="4" fontId="1" numFmtId="0" xfId="0" applyAlignment="1" applyFont="1">
      <alignment horizontal="center" readingOrder="0" shrinkToFit="0" vertical="center" wrapText="0"/>
    </xf>
    <xf borderId="0" fillId="4" fontId="1" numFmtId="0" xfId="0" applyFont="1"/>
    <xf borderId="0" fillId="2" fontId="8" numFmtId="0" xfId="0" applyAlignment="1" applyFont="1">
      <alignment readingOrder="0" shrinkToFit="0" vertical="bottom" wrapText="0"/>
    </xf>
    <xf borderId="0" fillId="3" fontId="9" numFmtId="0" xfId="0" applyAlignment="1" applyFont="1">
      <alignment readingOrder="0" shrinkToFit="0" vertical="bottom" wrapText="0"/>
    </xf>
    <xf borderId="0" fillId="0" fontId="10" numFmtId="0" xfId="0" applyAlignment="1" applyFont="1">
      <alignment shrinkToFit="0" vertical="bottom" wrapText="0"/>
    </xf>
    <xf borderId="0" fillId="0" fontId="11" numFmtId="0" xfId="0" applyAlignment="1" applyFont="1">
      <alignment shrinkToFit="0" vertical="bottom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2" numFmtId="14" xfId="0" applyAlignment="1" applyFont="1" applyNumberFormat="1">
      <alignment horizontal="right" readingOrder="0" shrinkToFit="0" vertical="bottom" wrapText="0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L222" displayName="Form_Responses1" name="Form_Responses1" id="1">
  <tableColumns count="38">
    <tableColumn name="Timestamp" id="1"/>
    <tableColumn name="অরিজিনাল ভর্তি তারিখ" id="2"/>
    <tableColumn name="শিক্ষার্থীর নাম (বাংলা)" id="3"/>
    <tableColumn name="শিক্ষার্থীর নাম (ইংরেজি)" id="4"/>
    <tableColumn name="পিতার নাম (বাংলা)" id="5"/>
    <tableColumn name="পিতার নাম (ইংরেজি)" id="6"/>
    <tableColumn name="পিতার পেশা" id="7"/>
    <tableColumn name="পিতার মোবাইল নম্বর" id="8"/>
    <tableColumn name="মাতার নাম (বাংলা)" id="9"/>
    <tableColumn name="মাতার নাম (ইংরেজি)" id="10"/>
    <tableColumn name="মাতার পেশা" id="11"/>
    <tableColumn name="মাতার মোবাইল নম্বর" id="12"/>
    <tableColumn name="কর্মশালায় উত্তীর্ণের তারিখ" id="13"/>
    <tableColumn name="কর্মশালায় উত্তীর্ণের বিষয়" id="14"/>
    <tableColumn name="কর্মশালার রেজিস্ট্রেশন নম্বর" id="15"/>
    <tableColumn name="ভর্তির আবেদনের বিষয়" id="16"/>
    <tableColumn name="জাতীয় পরিচয়পত্র/জন্ম নিবন্ধন নম্বর" id="17"/>
    <tableColumn name="বর্তমান ঠিকানা" id="18"/>
    <tableColumn name="স্থায়ী ঠিকানা" id="19"/>
    <tableColumn name="স্থায়ী ঠিকানা (জেলা)" id="20"/>
    <tableColumn name="জন্ম তারিখ" id="21"/>
    <tableColumn name="ধর্ম" id="22"/>
    <tableColumn name="লিঙ্গ" id="23"/>
    <tableColumn name="জাতীয়তা " id="24"/>
    <tableColumn name="রক্তের গ্রুপ" id="25"/>
    <tableColumn name="শিক্ষা প্রতিষ্ঠান" id="26"/>
    <tableColumn name="শ্রেণ/বর্ষ" id="27"/>
    <tableColumn name="রোল" id="28"/>
    <tableColumn name="বিভাগ/বিষয়" id="29"/>
    <tableColumn name="মোবাইল (অফলাইন)" id="30"/>
    <tableColumn name="মোবাইল (অনলাইন)" id="31"/>
    <tableColumn name="ই-মেইল" id="32"/>
    <tableColumn name="ফেসবুক আইডি" id="33"/>
    <tableColumn name="ছবি লিঙ্ক" id="34"/>
    <tableColumn name="আবেদন ফরমের স্ক্যান কপি (PDF)" id="35"/>
    <tableColumn name="মন্তব্য" id="36"/>
    <tableColumn name="ফরম সাবমিট করেছেন" id="37"/>
    <tableColumn name="ব্যাচ" id="38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facebook.com/itasraful/" TargetMode="External"/><Relationship Id="rId2" Type="http://schemas.openxmlformats.org/officeDocument/2006/relationships/hyperlink" Target="https://www.facebook.com/mobasshira.mahbub.2025" TargetMode="External"/><Relationship Id="rId3" Type="http://schemas.openxmlformats.org/officeDocument/2006/relationships/hyperlink" Target="https://www.facebook.com/mobasshira.mahbub.2025" TargetMode="External"/><Relationship Id="rId4" Type="http://schemas.openxmlformats.org/officeDocument/2006/relationships/hyperlink" Target="https://www.facebook.com/fazitun.inc" TargetMode="External"/><Relationship Id="rId11" Type="http://schemas.openxmlformats.org/officeDocument/2006/relationships/table" Target="../tables/table1.xml"/><Relationship Id="rId9" Type="http://schemas.openxmlformats.org/officeDocument/2006/relationships/drawing" Target="../drawings/drawing1.xml"/><Relationship Id="rId5" Type="http://schemas.openxmlformats.org/officeDocument/2006/relationships/hyperlink" Target="https://www.facebook.com/fazitun.inc" TargetMode="External"/><Relationship Id="rId6" Type="http://schemas.openxmlformats.org/officeDocument/2006/relationships/hyperlink" Target="https://www.facebook.com/fazitun.inc" TargetMode="External"/><Relationship Id="rId7" Type="http://schemas.openxmlformats.org/officeDocument/2006/relationships/hyperlink" Target="https://drive.google.com/file/d/11GvcITSX90PS17m-SWghpENsO6a0626Q/view?usp=sharing" TargetMode="External"/><Relationship Id="rId8" Type="http://schemas.openxmlformats.org/officeDocument/2006/relationships/hyperlink" Target="https://drive.google.com/file/d/1O_gEa25By1QeM0oe0lM__4af38ZMPuCh/view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12.38"/>
    <col customWidth="1" min="3" max="3" width="21.0"/>
    <col customWidth="1" min="4" max="4" width="21.75"/>
    <col customWidth="1" min="5" max="11" width="18.88"/>
    <col customWidth="1" min="12" max="12" width="15.13"/>
    <col customWidth="1" min="13" max="13" width="19.75"/>
    <col customWidth="1" min="14" max="14" width="22.88"/>
    <col customWidth="1" min="15" max="15" width="25.0"/>
    <col customWidth="1" min="16" max="16" width="18.88"/>
    <col customWidth="1" min="17" max="17" width="28.88"/>
    <col customWidth="1" min="18" max="19" width="18.88"/>
    <col customWidth="1" min="20" max="20" width="13.25"/>
    <col customWidth="1" min="21" max="21" width="12.38"/>
    <col customWidth="1" min="22" max="22" width="8.75"/>
    <col customWidth="1" min="23" max="24" width="9.5"/>
    <col customWidth="1" min="25" max="25" width="7.75"/>
    <col customWidth="1" min="26" max="26" width="31.5"/>
    <col customWidth="1" min="27" max="27" width="18.88"/>
    <col customWidth="1" min="28" max="28" width="11.0"/>
    <col customWidth="1" min="29" max="29" width="16.75"/>
    <col customWidth="1" min="30" max="33" width="18.88"/>
    <col customWidth="1" min="34" max="34" width="69.75"/>
    <col customWidth="1" min="35" max="35" width="25.63"/>
    <col customWidth="1" min="36" max="41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2" t="s">
        <v>29</v>
      </c>
      <c r="AE1" s="2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3" t="s">
        <v>37</v>
      </c>
    </row>
    <row r="2" ht="22.5" customHeight="1">
      <c r="A2" s="4">
        <v>45830.58071701389</v>
      </c>
      <c r="B2" s="5">
        <v>45323.0</v>
      </c>
      <c r="C2" s="6" t="s">
        <v>38</v>
      </c>
      <c r="D2" s="6" t="s">
        <v>39</v>
      </c>
      <c r="E2" s="6" t="s">
        <v>40</v>
      </c>
      <c r="F2" s="6" t="s">
        <v>41</v>
      </c>
      <c r="G2" s="6" t="s">
        <v>42</v>
      </c>
      <c r="H2" s="7" t="s">
        <v>43</v>
      </c>
      <c r="I2" s="6" t="s">
        <v>44</v>
      </c>
      <c r="J2" s="6" t="s">
        <v>45</v>
      </c>
      <c r="K2" s="6" t="s">
        <v>46</v>
      </c>
      <c r="L2" s="7" t="s">
        <v>47</v>
      </c>
      <c r="M2" s="5">
        <v>45808.0</v>
      </c>
      <c r="N2" s="6" t="s">
        <v>48</v>
      </c>
      <c r="O2" s="6" t="s">
        <v>49</v>
      </c>
      <c r="P2" s="6" t="s">
        <v>48</v>
      </c>
      <c r="Q2" s="6" t="s">
        <v>50</v>
      </c>
      <c r="R2" s="6" t="s">
        <v>51</v>
      </c>
      <c r="S2" s="6" t="s">
        <v>52</v>
      </c>
      <c r="T2" s="6" t="s">
        <v>53</v>
      </c>
      <c r="U2" s="5">
        <v>43271.0</v>
      </c>
      <c r="V2" s="6" t="s">
        <v>54</v>
      </c>
      <c r="W2" s="6" t="s">
        <v>55</v>
      </c>
      <c r="X2" s="6" t="s">
        <v>56</v>
      </c>
      <c r="Z2" s="6" t="s">
        <v>57</v>
      </c>
      <c r="AA2" s="6" t="s">
        <v>58</v>
      </c>
      <c r="AB2" s="6">
        <v>5.0</v>
      </c>
      <c r="AD2" s="7" t="s">
        <v>43</v>
      </c>
      <c r="AE2" s="7" t="s">
        <v>43</v>
      </c>
      <c r="AG2" s="6" t="s">
        <v>59</v>
      </c>
      <c r="AH2" s="8" t="str">
        <f>HYPERLINK("https://drive.google.com/open?id=1g-NxPWaheM53rNsIzVIALfeqbcJzzxal", "https://drive.google.com/open?id=1g-NxPWaheM53rNsIzVIALfeqbcJzzxal")</f>
        <v>https://drive.google.com/open?id=1g-NxPWaheM53rNsIzVIALfeqbcJzzxal</v>
      </c>
      <c r="AJ2" s="6" t="s">
        <v>60</v>
      </c>
      <c r="AK2" s="6" t="s">
        <v>61</v>
      </c>
      <c r="AL2" s="9">
        <v>1.0</v>
      </c>
    </row>
    <row r="3" ht="22.5" customHeight="1">
      <c r="A3" s="4">
        <v>45830.79108946759</v>
      </c>
      <c r="B3" s="5">
        <v>45830.0</v>
      </c>
      <c r="C3" s="6" t="s">
        <v>62</v>
      </c>
      <c r="D3" s="6" t="s">
        <v>63</v>
      </c>
      <c r="E3" s="6" t="s">
        <v>64</v>
      </c>
      <c r="F3" s="6" t="s">
        <v>65</v>
      </c>
      <c r="G3" s="6" t="s">
        <v>66</v>
      </c>
      <c r="H3" s="7" t="s">
        <v>67</v>
      </c>
      <c r="I3" s="6" t="s">
        <v>68</v>
      </c>
      <c r="J3" s="6" t="s">
        <v>69</v>
      </c>
      <c r="K3" s="6" t="s">
        <v>46</v>
      </c>
      <c r="L3" s="7" t="s">
        <v>70</v>
      </c>
      <c r="M3" s="5">
        <v>45808.0</v>
      </c>
      <c r="N3" s="6" t="s">
        <v>71</v>
      </c>
      <c r="O3" s="6" t="s">
        <v>72</v>
      </c>
      <c r="P3" s="6" t="s">
        <v>71</v>
      </c>
      <c r="Q3" s="6" t="s">
        <v>73</v>
      </c>
      <c r="R3" s="6" t="s">
        <v>74</v>
      </c>
      <c r="S3" s="6" t="s">
        <v>75</v>
      </c>
      <c r="T3" s="6" t="s">
        <v>76</v>
      </c>
      <c r="U3" s="5">
        <v>42204.0</v>
      </c>
      <c r="V3" s="6" t="s">
        <v>54</v>
      </c>
      <c r="W3" s="6" t="s">
        <v>77</v>
      </c>
      <c r="X3" s="6" t="s">
        <v>56</v>
      </c>
      <c r="Y3" s="6" t="s">
        <v>78</v>
      </c>
      <c r="Z3" s="6" t="s">
        <v>79</v>
      </c>
      <c r="AA3" s="6" t="s">
        <v>80</v>
      </c>
      <c r="AB3" s="6">
        <v>16.0</v>
      </c>
      <c r="AD3" s="7" t="s">
        <v>67</v>
      </c>
      <c r="AE3" s="7" t="s">
        <v>67</v>
      </c>
      <c r="AH3" s="10" t="str">
        <f t="shared" ref="AH3:AH4" si="1">HYPERLINK("https://drive.google.com/open?id=1DVg-ZnoVMrhLk2IROdaenI6wLnxBLPG-", "https://drive.google.com/open?id=1DVg-ZnoVMrhLk2IROdaenI6wLnxBLPG-")</f>
        <v>https://drive.google.com/open?id=1DVg-ZnoVMrhLk2IROdaenI6wLnxBLPG-</v>
      </c>
      <c r="AJ3" s="6" t="s">
        <v>81</v>
      </c>
      <c r="AK3" s="6" t="s">
        <v>82</v>
      </c>
      <c r="AL3" s="3">
        <v>2.0</v>
      </c>
    </row>
    <row r="4" ht="22.5" customHeight="1">
      <c r="A4" s="4">
        <v>45830.80427988426</v>
      </c>
      <c r="B4" s="5">
        <v>45830.0</v>
      </c>
      <c r="C4" s="6" t="s">
        <v>62</v>
      </c>
      <c r="D4" s="6" t="s">
        <v>83</v>
      </c>
      <c r="E4" s="6" t="s">
        <v>84</v>
      </c>
      <c r="F4" s="6" t="s">
        <v>65</v>
      </c>
      <c r="G4" s="6" t="s">
        <v>66</v>
      </c>
      <c r="H4" s="7" t="s">
        <v>67</v>
      </c>
      <c r="I4" s="6" t="s">
        <v>68</v>
      </c>
      <c r="J4" s="6" t="s">
        <v>69</v>
      </c>
      <c r="K4" s="6" t="s">
        <v>46</v>
      </c>
      <c r="L4" s="7" t="s">
        <v>70</v>
      </c>
      <c r="M4" s="5">
        <v>45808.0</v>
      </c>
      <c r="N4" s="6" t="s">
        <v>48</v>
      </c>
      <c r="O4" s="6" t="s">
        <v>72</v>
      </c>
      <c r="P4" s="6" t="s">
        <v>48</v>
      </c>
      <c r="Q4" s="6" t="s">
        <v>73</v>
      </c>
      <c r="R4" s="6" t="s">
        <v>85</v>
      </c>
      <c r="S4" s="6" t="s">
        <v>75</v>
      </c>
      <c r="T4" s="6" t="s">
        <v>76</v>
      </c>
      <c r="U4" s="5">
        <v>42204.0</v>
      </c>
      <c r="V4" s="6" t="s">
        <v>54</v>
      </c>
      <c r="W4" s="6" t="s">
        <v>77</v>
      </c>
      <c r="X4" s="6" t="s">
        <v>56</v>
      </c>
      <c r="Y4" s="6" t="s">
        <v>78</v>
      </c>
      <c r="Z4" s="6" t="s">
        <v>79</v>
      </c>
      <c r="AA4" s="6" t="s">
        <v>80</v>
      </c>
      <c r="AB4" s="6">
        <v>16.0</v>
      </c>
      <c r="AD4" s="7" t="s">
        <v>67</v>
      </c>
      <c r="AE4" s="7" t="s">
        <v>67</v>
      </c>
      <c r="AH4" s="11" t="str">
        <f t="shared" si="1"/>
        <v>https://drive.google.com/open?id=1DVg-ZnoVMrhLk2IROdaenI6wLnxBLPG-</v>
      </c>
      <c r="AJ4" s="6" t="s">
        <v>86</v>
      </c>
      <c r="AK4" s="6" t="s">
        <v>61</v>
      </c>
      <c r="AL4" s="3">
        <v>2.0</v>
      </c>
    </row>
    <row r="5" ht="22.5" customHeight="1">
      <c r="A5" s="4">
        <v>45830.89062994213</v>
      </c>
      <c r="B5" s="5">
        <v>45296.0</v>
      </c>
      <c r="C5" s="6" t="s">
        <v>87</v>
      </c>
      <c r="D5" s="6" t="s">
        <v>88</v>
      </c>
      <c r="E5" s="6" t="s">
        <v>89</v>
      </c>
      <c r="F5" s="6" t="s">
        <v>90</v>
      </c>
      <c r="G5" s="6" t="s">
        <v>91</v>
      </c>
      <c r="H5" s="7" t="s">
        <v>92</v>
      </c>
      <c r="I5" s="6" t="s">
        <v>93</v>
      </c>
      <c r="J5" s="6" t="s">
        <v>94</v>
      </c>
      <c r="K5" s="6" t="s">
        <v>95</v>
      </c>
      <c r="L5" s="7" t="s">
        <v>96</v>
      </c>
      <c r="M5" s="5">
        <v>45808.0</v>
      </c>
      <c r="N5" s="6" t="s">
        <v>48</v>
      </c>
      <c r="O5" s="6" t="s">
        <v>97</v>
      </c>
      <c r="P5" s="6" t="s">
        <v>48</v>
      </c>
      <c r="Q5" s="6" t="s">
        <v>98</v>
      </c>
      <c r="R5" s="6" t="s">
        <v>99</v>
      </c>
      <c r="S5" s="6" t="s">
        <v>100</v>
      </c>
      <c r="T5" s="6" t="s">
        <v>101</v>
      </c>
      <c r="U5" s="5">
        <v>42927.0</v>
      </c>
      <c r="V5" s="6" t="s">
        <v>54</v>
      </c>
      <c r="W5" s="6" t="s">
        <v>55</v>
      </c>
      <c r="X5" s="6" t="s">
        <v>102</v>
      </c>
      <c r="Z5" s="6" t="s">
        <v>103</v>
      </c>
      <c r="AA5" s="6" t="s">
        <v>104</v>
      </c>
      <c r="AB5" s="6">
        <v>1.0</v>
      </c>
      <c r="AD5" s="7" t="s">
        <v>92</v>
      </c>
      <c r="AE5" s="7" t="s">
        <v>92</v>
      </c>
      <c r="AF5" s="6" t="s">
        <v>105</v>
      </c>
      <c r="AG5" s="6" t="s">
        <v>106</v>
      </c>
      <c r="AH5" s="8" t="str">
        <f>HYPERLINK("https://drive.google.com/open?id=18oCasC-Ina6Ni8lCMKRyQZ0d1DS65Rr6", "https://drive.google.com/open?id=18oCasC-Ina6Ni8lCMKRyQZ0d1DS65Rr6")</f>
        <v>https://drive.google.com/open?id=18oCasC-Ina6Ni8lCMKRyQZ0d1DS65Rr6</v>
      </c>
      <c r="AJ5" s="6" t="s">
        <v>107</v>
      </c>
      <c r="AK5" s="6" t="s">
        <v>108</v>
      </c>
      <c r="AL5" s="9">
        <v>1.0</v>
      </c>
    </row>
    <row r="6" ht="22.5" customHeight="1">
      <c r="A6" s="4">
        <v>45831.54266755787</v>
      </c>
      <c r="B6" s="5">
        <v>45444.0</v>
      </c>
      <c r="C6" s="6" t="s">
        <v>109</v>
      </c>
      <c r="D6" s="6" t="s">
        <v>110</v>
      </c>
      <c r="E6" s="6" t="s">
        <v>111</v>
      </c>
      <c r="F6" s="6" t="s">
        <v>112</v>
      </c>
      <c r="G6" s="6" t="s">
        <v>42</v>
      </c>
      <c r="H6" s="7" t="s">
        <v>113</v>
      </c>
      <c r="I6" s="6" t="s">
        <v>114</v>
      </c>
      <c r="J6" s="6" t="s">
        <v>115</v>
      </c>
      <c r="K6" s="6" t="s">
        <v>46</v>
      </c>
      <c r="L6" s="7" t="s">
        <v>116</v>
      </c>
      <c r="M6" s="5">
        <v>45808.0</v>
      </c>
      <c r="N6" s="6" t="s">
        <v>48</v>
      </c>
      <c r="O6" s="6" t="s">
        <v>117</v>
      </c>
      <c r="P6" s="6" t="s">
        <v>48</v>
      </c>
      <c r="Q6" s="6" t="s">
        <v>118</v>
      </c>
      <c r="R6" s="6" t="s">
        <v>119</v>
      </c>
      <c r="S6" s="6" t="s">
        <v>120</v>
      </c>
      <c r="T6" s="6" t="s">
        <v>121</v>
      </c>
      <c r="U6" s="5">
        <v>42575.0</v>
      </c>
      <c r="V6" s="6" t="s">
        <v>54</v>
      </c>
      <c r="W6" s="6" t="s">
        <v>77</v>
      </c>
      <c r="X6" s="6" t="s">
        <v>122</v>
      </c>
      <c r="Y6" s="6" t="s">
        <v>123</v>
      </c>
      <c r="Z6" s="6" t="s">
        <v>124</v>
      </c>
      <c r="AA6" s="6" t="s">
        <v>80</v>
      </c>
      <c r="AB6" s="6">
        <v>13.0</v>
      </c>
      <c r="AD6" s="7" t="s">
        <v>116</v>
      </c>
      <c r="AE6" s="7" t="s">
        <v>113</v>
      </c>
      <c r="AH6" s="11" t="str">
        <f>HYPERLINK("https://drive.google.com/open?id=1dg8qyRy7Zg0HfApjyY7p1_IRQgoyLiZ1", "https://drive.google.com/open?id=1dg8qyRy7Zg0HfApjyY7p1_IRQgoyLiZ1")</f>
        <v>https://drive.google.com/open?id=1dg8qyRy7Zg0HfApjyY7p1_IRQgoyLiZ1</v>
      </c>
      <c r="AJ6" s="6" t="s">
        <v>125</v>
      </c>
      <c r="AK6" s="6" t="s">
        <v>61</v>
      </c>
      <c r="AL6" s="3">
        <v>2.0</v>
      </c>
    </row>
    <row r="7" ht="22.5" customHeight="1">
      <c r="A7" s="4">
        <v>45831.722700405095</v>
      </c>
      <c r="B7" s="5">
        <v>45831.0</v>
      </c>
      <c r="C7" s="6" t="s">
        <v>126</v>
      </c>
      <c r="D7" s="6" t="s">
        <v>127</v>
      </c>
      <c r="E7" s="6" t="s">
        <v>128</v>
      </c>
      <c r="F7" s="6" t="s">
        <v>129</v>
      </c>
      <c r="G7" s="6" t="s">
        <v>130</v>
      </c>
      <c r="H7" s="7" t="s">
        <v>131</v>
      </c>
      <c r="I7" s="6" t="s">
        <v>132</v>
      </c>
      <c r="J7" s="6" t="s">
        <v>133</v>
      </c>
      <c r="K7" s="6" t="s">
        <v>95</v>
      </c>
      <c r="L7" s="7" t="s">
        <v>134</v>
      </c>
      <c r="M7" s="5">
        <v>45808.0</v>
      </c>
      <c r="N7" s="6" t="s">
        <v>48</v>
      </c>
      <c r="O7" s="6" t="s">
        <v>135</v>
      </c>
      <c r="P7" s="6" t="s">
        <v>48</v>
      </c>
      <c r="R7" s="6" t="s">
        <v>136</v>
      </c>
      <c r="S7" s="6" t="s">
        <v>137</v>
      </c>
      <c r="T7" s="6" t="s">
        <v>101</v>
      </c>
      <c r="U7" s="5">
        <v>43570.0</v>
      </c>
      <c r="V7" s="6" t="s">
        <v>54</v>
      </c>
      <c r="W7" s="6" t="s">
        <v>77</v>
      </c>
      <c r="X7" s="6" t="s">
        <v>102</v>
      </c>
      <c r="Y7" s="6" t="s">
        <v>138</v>
      </c>
      <c r="Z7" s="6" t="s">
        <v>139</v>
      </c>
      <c r="AA7" s="6" t="s">
        <v>140</v>
      </c>
      <c r="AB7" s="6">
        <v>1.0</v>
      </c>
      <c r="AC7" s="6" t="s">
        <v>141</v>
      </c>
      <c r="AD7" s="7" t="s">
        <v>134</v>
      </c>
      <c r="AE7" s="7" t="s">
        <v>134</v>
      </c>
      <c r="AF7" s="6" t="s">
        <v>142</v>
      </c>
      <c r="AG7" s="6" t="s">
        <v>143</v>
      </c>
      <c r="AH7" s="10" t="str">
        <f>HYPERLINK("https://drive.google.com/open?id=1j6FRFmTnVA8oFPCg4Iu3XqSEQ5wSZLVn", "https://drive.google.com/open?id=1j6FRFmTnVA8oFPCg4Iu3XqSEQ5wSZLVn")</f>
        <v>https://drive.google.com/open?id=1j6FRFmTnVA8oFPCg4Iu3XqSEQ5wSZLVn</v>
      </c>
      <c r="AJ7" s="6" t="s">
        <v>144</v>
      </c>
      <c r="AK7" s="6" t="s">
        <v>145</v>
      </c>
      <c r="AL7" s="3">
        <v>1.0</v>
      </c>
    </row>
    <row r="8" ht="22.5" customHeight="1">
      <c r="A8" s="4">
        <v>45831.77463292824</v>
      </c>
      <c r="B8" s="5">
        <v>44927.0</v>
      </c>
      <c r="C8" s="6" t="s">
        <v>146</v>
      </c>
      <c r="D8" s="6" t="s">
        <v>147</v>
      </c>
      <c r="E8" s="6" t="s">
        <v>148</v>
      </c>
      <c r="F8" s="6" t="s">
        <v>149</v>
      </c>
      <c r="G8" s="6" t="s">
        <v>150</v>
      </c>
      <c r="H8" s="7" t="s">
        <v>151</v>
      </c>
      <c r="I8" s="6" t="s">
        <v>152</v>
      </c>
      <c r="J8" s="6" t="s">
        <v>153</v>
      </c>
      <c r="K8" s="6" t="s">
        <v>154</v>
      </c>
      <c r="L8" s="7" t="s">
        <v>155</v>
      </c>
      <c r="M8" s="5">
        <v>45808.0</v>
      </c>
      <c r="N8" s="6" t="s">
        <v>48</v>
      </c>
      <c r="O8" s="6" t="s">
        <v>156</v>
      </c>
      <c r="P8" s="6" t="s">
        <v>48</v>
      </c>
      <c r="Q8" s="6" t="s">
        <v>157</v>
      </c>
      <c r="R8" s="6" t="s">
        <v>158</v>
      </c>
      <c r="S8" s="6" t="s">
        <v>158</v>
      </c>
      <c r="T8" s="6" t="s">
        <v>101</v>
      </c>
      <c r="U8" s="5" t="s">
        <v>159</v>
      </c>
      <c r="V8" s="6" t="s">
        <v>54</v>
      </c>
      <c r="W8" s="6" t="s">
        <v>55</v>
      </c>
      <c r="X8" s="6" t="s">
        <v>102</v>
      </c>
      <c r="Y8" s="6" t="s">
        <v>160</v>
      </c>
      <c r="Z8" s="6" t="s">
        <v>161</v>
      </c>
      <c r="AA8" s="6" t="s">
        <v>162</v>
      </c>
      <c r="AB8" s="7" t="s">
        <v>163</v>
      </c>
      <c r="AD8" s="7" t="s">
        <v>155</v>
      </c>
      <c r="AE8" s="7" t="s">
        <v>155</v>
      </c>
      <c r="AF8" s="6" t="s">
        <v>164</v>
      </c>
      <c r="AG8" s="6" t="s">
        <v>165</v>
      </c>
      <c r="AH8" s="8" t="str">
        <f>HYPERLINK("https://drive.google.com/open?id=1chI3922AuAk1Uoko51eitV5x2LZ1_w-P", "https://drive.google.com/open?id=1chI3922AuAk1Uoko51eitV5x2LZ1_w-P")</f>
        <v>https://drive.google.com/open?id=1chI3922AuAk1Uoko51eitV5x2LZ1_w-P</v>
      </c>
      <c r="AK8" s="6" t="s">
        <v>166</v>
      </c>
      <c r="AL8" s="9">
        <v>1.0</v>
      </c>
    </row>
    <row r="9" ht="22.5" customHeight="1">
      <c r="A9" s="4">
        <v>45831.80364457176</v>
      </c>
      <c r="B9" s="5">
        <v>45317.0</v>
      </c>
      <c r="C9" s="6" t="s">
        <v>167</v>
      </c>
      <c r="D9" s="6" t="s">
        <v>168</v>
      </c>
      <c r="E9" s="6" t="s">
        <v>169</v>
      </c>
      <c r="F9" s="6" t="s">
        <v>170</v>
      </c>
      <c r="G9" s="6" t="s">
        <v>171</v>
      </c>
      <c r="H9" s="7" t="s">
        <v>172</v>
      </c>
      <c r="I9" s="6" t="s">
        <v>173</v>
      </c>
      <c r="J9" s="6" t="s">
        <v>174</v>
      </c>
      <c r="K9" s="6" t="s">
        <v>154</v>
      </c>
      <c r="L9" s="7" t="s">
        <v>175</v>
      </c>
      <c r="M9" s="5">
        <v>45808.0</v>
      </c>
      <c r="N9" s="6" t="s">
        <v>176</v>
      </c>
      <c r="O9" s="6" t="s">
        <v>177</v>
      </c>
      <c r="P9" s="6" t="s">
        <v>176</v>
      </c>
      <c r="R9" s="6" t="s">
        <v>178</v>
      </c>
      <c r="S9" s="6" t="s">
        <v>179</v>
      </c>
      <c r="T9" s="6" t="s">
        <v>180</v>
      </c>
      <c r="U9" s="5">
        <v>42738.0</v>
      </c>
      <c r="V9" s="6" t="s">
        <v>54</v>
      </c>
      <c r="W9" s="6" t="s">
        <v>55</v>
      </c>
      <c r="X9" s="6" t="s">
        <v>102</v>
      </c>
      <c r="Y9" s="6" t="s">
        <v>160</v>
      </c>
      <c r="Z9" s="6" t="s">
        <v>181</v>
      </c>
      <c r="AA9" s="6" t="s">
        <v>182</v>
      </c>
      <c r="AB9" s="6">
        <v>64.0</v>
      </c>
      <c r="AD9" s="7" t="s">
        <v>175</v>
      </c>
      <c r="AE9" s="7" t="s">
        <v>175</v>
      </c>
      <c r="AF9" s="6" t="s">
        <v>183</v>
      </c>
      <c r="AG9" s="6" t="s">
        <v>184</v>
      </c>
      <c r="AH9" s="10" t="str">
        <f t="shared" ref="AH9:AH10" si="2">HYPERLINK("https://drive.google.com/open?id=1FWeLoYEDHYDCRPH11VPKRMctSYzfwK6r", "https://drive.google.com/open?id=1FWeLoYEDHYDCRPH11VPKRMctSYzfwK6r")</f>
        <v>https://drive.google.com/open?id=1FWeLoYEDHYDCRPH11VPKRMctSYzfwK6r</v>
      </c>
      <c r="AJ9" s="6" t="s">
        <v>185</v>
      </c>
      <c r="AK9" s="6" t="s">
        <v>166</v>
      </c>
      <c r="AL9" s="3">
        <v>2.0</v>
      </c>
    </row>
    <row r="10" ht="22.5" customHeight="1">
      <c r="A10" s="4">
        <v>45831.82625513889</v>
      </c>
      <c r="B10" s="5">
        <v>45317.0</v>
      </c>
      <c r="C10" s="6" t="s">
        <v>167</v>
      </c>
      <c r="D10" s="6" t="s">
        <v>168</v>
      </c>
      <c r="E10" s="6" t="s">
        <v>169</v>
      </c>
      <c r="F10" s="6" t="s">
        <v>170</v>
      </c>
      <c r="G10" s="6" t="s">
        <v>171</v>
      </c>
      <c r="H10" s="7" t="s">
        <v>172</v>
      </c>
      <c r="I10" s="6" t="s">
        <v>173</v>
      </c>
      <c r="J10" s="6" t="s">
        <v>186</v>
      </c>
      <c r="K10" s="6" t="s">
        <v>154</v>
      </c>
      <c r="L10" s="7" t="s">
        <v>175</v>
      </c>
      <c r="M10" s="5">
        <v>45808.0</v>
      </c>
      <c r="N10" s="6" t="s">
        <v>48</v>
      </c>
      <c r="O10" s="6" t="s">
        <v>177</v>
      </c>
      <c r="P10" s="6" t="s">
        <v>48</v>
      </c>
      <c r="R10" s="6" t="s">
        <v>187</v>
      </c>
      <c r="S10" s="6" t="s">
        <v>179</v>
      </c>
      <c r="T10" s="6" t="s">
        <v>180</v>
      </c>
      <c r="U10" s="5">
        <v>42738.0</v>
      </c>
      <c r="V10" s="6" t="s">
        <v>54</v>
      </c>
      <c r="W10" s="6" t="s">
        <v>55</v>
      </c>
      <c r="X10" s="6" t="s">
        <v>102</v>
      </c>
      <c r="Y10" s="6" t="s">
        <v>160</v>
      </c>
      <c r="Z10" s="6" t="s">
        <v>188</v>
      </c>
      <c r="AA10" s="6" t="s">
        <v>189</v>
      </c>
      <c r="AB10" s="6">
        <v>64.0</v>
      </c>
      <c r="AD10" s="7" t="s">
        <v>175</v>
      </c>
      <c r="AE10" s="7" t="s">
        <v>175</v>
      </c>
      <c r="AF10" s="6" t="s">
        <v>183</v>
      </c>
      <c r="AG10" s="6" t="s">
        <v>190</v>
      </c>
      <c r="AH10" s="11" t="str">
        <f t="shared" si="2"/>
        <v>https://drive.google.com/open?id=1FWeLoYEDHYDCRPH11VPKRMctSYzfwK6r</v>
      </c>
      <c r="AJ10" s="6" t="s">
        <v>191</v>
      </c>
      <c r="AK10" s="6" t="s">
        <v>166</v>
      </c>
      <c r="AL10" s="3">
        <v>2.0</v>
      </c>
    </row>
    <row r="11" ht="22.5" customHeight="1">
      <c r="A11" s="4">
        <v>45831.83966048611</v>
      </c>
      <c r="B11" s="5">
        <v>45317.0</v>
      </c>
      <c r="C11" s="6" t="s">
        <v>192</v>
      </c>
      <c r="D11" s="6" t="s">
        <v>193</v>
      </c>
      <c r="E11" s="6" t="s">
        <v>169</v>
      </c>
      <c r="F11" s="6" t="s">
        <v>170</v>
      </c>
      <c r="G11" s="6" t="s">
        <v>171</v>
      </c>
      <c r="H11" s="7" t="s">
        <v>172</v>
      </c>
      <c r="I11" s="6" t="s">
        <v>173</v>
      </c>
      <c r="J11" s="6" t="s">
        <v>194</v>
      </c>
      <c r="K11" s="6" t="s">
        <v>171</v>
      </c>
      <c r="L11" s="7" t="s">
        <v>175</v>
      </c>
      <c r="M11" s="5">
        <v>45808.0</v>
      </c>
      <c r="N11" s="6" t="s">
        <v>48</v>
      </c>
      <c r="O11" s="6" t="s">
        <v>195</v>
      </c>
      <c r="P11" s="6" t="s">
        <v>48</v>
      </c>
      <c r="R11" s="6" t="s">
        <v>196</v>
      </c>
      <c r="S11" s="6" t="s">
        <v>197</v>
      </c>
      <c r="T11" s="6" t="s">
        <v>180</v>
      </c>
      <c r="U11" s="5">
        <v>45912.0</v>
      </c>
      <c r="V11" s="6" t="s">
        <v>54</v>
      </c>
      <c r="W11" s="6" t="s">
        <v>77</v>
      </c>
      <c r="X11" s="6" t="s">
        <v>102</v>
      </c>
      <c r="Y11" s="6" t="s">
        <v>78</v>
      </c>
      <c r="Z11" s="6" t="s">
        <v>198</v>
      </c>
      <c r="AA11" s="6" t="s">
        <v>182</v>
      </c>
      <c r="AB11" s="7" t="s">
        <v>199</v>
      </c>
      <c r="AD11" s="7" t="s">
        <v>175</v>
      </c>
      <c r="AE11" s="7" t="s">
        <v>175</v>
      </c>
      <c r="AF11" s="6" t="s">
        <v>183</v>
      </c>
      <c r="AG11" s="6" t="s">
        <v>200</v>
      </c>
      <c r="AH11" s="10" t="str">
        <f t="shared" ref="AH11:AH12" si="3">HYPERLINK("https://drive.google.com/open?id=1RZNJ5fc5_7Cu_CzlRJ0kj2Q7NafzFLeV", "https://drive.google.com/open?id=1RZNJ5fc5_7Cu_CzlRJ0kj2Q7NafzFLeV")</f>
        <v>https://drive.google.com/open?id=1RZNJ5fc5_7Cu_CzlRJ0kj2Q7NafzFLeV</v>
      </c>
      <c r="AJ11" s="6" t="s">
        <v>201</v>
      </c>
      <c r="AK11" s="6" t="s">
        <v>166</v>
      </c>
      <c r="AL11" s="3">
        <v>2.0</v>
      </c>
    </row>
    <row r="12" ht="22.5" customHeight="1">
      <c r="A12" s="4">
        <v>45831.88392246528</v>
      </c>
      <c r="B12" s="5">
        <v>45317.0</v>
      </c>
      <c r="C12" s="6" t="s">
        <v>192</v>
      </c>
      <c r="D12" s="6" t="s">
        <v>193</v>
      </c>
      <c r="E12" s="6" t="s">
        <v>169</v>
      </c>
      <c r="F12" s="6" t="s">
        <v>170</v>
      </c>
      <c r="G12" s="6" t="s">
        <v>171</v>
      </c>
      <c r="H12" s="7" t="s">
        <v>172</v>
      </c>
      <c r="I12" s="6" t="s">
        <v>173</v>
      </c>
      <c r="J12" s="6" t="s">
        <v>194</v>
      </c>
      <c r="K12" s="6" t="s">
        <v>171</v>
      </c>
      <c r="L12" s="7" t="s">
        <v>175</v>
      </c>
      <c r="M12" s="5">
        <v>45808.0</v>
      </c>
      <c r="N12" s="6" t="s">
        <v>176</v>
      </c>
      <c r="O12" s="6" t="s">
        <v>195</v>
      </c>
      <c r="P12" s="6" t="s">
        <v>176</v>
      </c>
      <c r="R12" s="6" t="s">
        <v>196</v>
      </c>
      <c r="S12" s="6" t="s">
        <v>197</v>
      </c>
      <c r="T12" s="6" t="s">
        <v>180</v>
      </c>
      <c r="U12" s="5">
        <v>45912.0</v>
      </c>
      <c r="V12" s="6" t="s">
        <v>54</v>
      </c>
      <c r="W12" s="6" t="s">
        <v>77</v>
      </c>
      <c r="X12" s="6" t="s">
        <v>102</v>
      </c>
      <c r="Y12" s="6" t="s">
        <v>78</v>
      </c>
      <c r="Z12" s="6" t="s">
        <v>198</v>
      </c>
      <c r="AA12" s="6" t="s">
        <v>182</v>
      </c>
      <c r="AB12" s="7" t="s">
        <v>199</v>
      </c>
      <c r="AD12" s="7" t="s">
        <v>175</v>
      </c>
      <c r="AE12" s="7" t="s">
        <v>175</v>
      </c>
      <c r="AF12" s="6" t="s">
        <v>183</v>
      </c>
      <c r="AG12" s="6" t="s">
        <v>200</v>
      </c>
      <c r="AH12" s="11" t="str">
        <f t="shared" si="3"/>
        <v>https://drive.google.com/open?id=1RZNJ5fc5_7Cu_CzlRJ0kj2Q7NafzFLeV</v>
      </c>
      <c r="AJ12" s="6" t="s">
        <v>202</v>
      </c>
      <c r="AK12" s="6" t="s">
        <v>203</v>
      </c>
      <c r="AL12" s="3">
        <v>2.0</v>
      </c>
    </row>
    <row r="13" ht="22.5" customHeight="1">
      <c r="A13" s="4">
        <v>45831.902520081014</v>
      </c>
      <c r="B13" s="5">
        <v>45830.0</v>
      </c>
      <c r="C13" s="6" t="s">
        <v>204</v>
      </c>
      <c r="D13" s="6" t="s">
        <v>205</v>
      </c>
      <c r="E13" s="6" t="s">
        <v>206</v>
      </c>
      <c r="F13" s="6" t="s">
        <v>207</v>
      </c>
      <c r="G13" s="6" t="s">
        <v>208</v>
      </c>
      <c r="H13" s="7" t="s">
        <v>209</v>
      </c>
      <c r="I13" s="6" t="s">
        <v>210</v>
      </c>
      <c r="J13" s="6" t="s">
        <v>211</v>
      </c>
      <c r="K13" s="6" t="s">
        <v>95</v>
      </c>
      <c r="L13" s="7" t="s">
        <v>212</v>
      </c>
      <c r="M13" s="5">
        <v>45808.0</v>
      </c>
      <c r="N13" s="6" t="s">
        <v>48</v>
      </c>
      <c r="O13" s="6" t="s">
        <v>213</v>
      </c>
      <c r="P13" s="6" t="s">
        <v>48</v>
      </c>
      <c r="Q13" s="6" t="s">
        <v>214</v>
      </c>
      <c r="R13" s="6" t="s">
        <v>215</v>
      </c>
      <c r="S13" s="6" t="s">
        <v>216</v>
      </c>
      <c r="T13" s="6" t="s">
        <v>217</v>
      </c>
      <c r="U13" s="5">
        <v>43635.0</v>
      </c>
      <c r="V13" s="6" t="s">
        <v>54</v>
      </c>
      <c r="W13" s="6" t="s">
        <v>55</v>
      </c>
      <c r="X13" s="6" t="s">
        <v>102</v>
      </c>
      <c r="Y13" s="6" t="s">
        <v>123</v>
      </c>
      <c r="Z13" s="6" t="s">
        <v>218</v>
      </c>
      <c r="AA13" s="6" t="s">
        <v>219</v>
      </c>
      <c r="AB13" s="6">
        <v>36.0</v>
      </c>
      <c r="AC13" s="6" t="s">
        <v>220</v>
      </c>
      <c r="AD13" s="7" t="s">
        <v>212</v>
      </c>
      <c r="AE13" s="7" t="s">
        <v>209</v>
      </c>
      <c r="AF13" s="6" t="s">
        <v>221</v>
      </c>
      <c r="AG13" s="6" t="s">
        <v>206</v>
      </c>
      <c r="AH13" s="12" t="s">
        <v>222</v>
      </c>
      <c r="AK13" s="6" t="s">
        <v>166</v>
      </c>
      <c r="AL13" s="3">
        <v>2.0</v>
      </c>
    </row>
    <row r="14" ht="22.5" customHeight="1">
      <c r="A14" s="4">
        <v>45832.67931619213</v>
      </c>
      <c r="B14" s="5">
        <v>45832.0</v>
      </c>
      <c r="C14" s="6" t="s">
        <v>223</v>
      </c>
      <c r="D14" s="6" t="s">
        <v>224</v>
      </c>
      <c r="E14" s="6" t="s">
        <v>225</v>
      </c>
      <c r="F14" s="6" t="s">
        <v>226</v>
      </c>
      <c r="G14" s="6" t="s">
        <v>66</v>
      </c>
      <c r="H14" s="7" t="s">
        <v>227</v>
      </c>
      <c r="I14" s="6" t="s">
        <v>228</v>
      </c>
      <c r="J14" s="6" t="s">
        <v>229</v>
      </c>
      <c r="K14" s="6" t="s">
        <v>95</v>
      </c>
      <c r="L14" s="7" t="s">
        <v>230</v>
      </c>
      <c r="M14" s="5">
        <v>45808.0</v>
      </c>
      <c r="N14" s="6" t="s">
        <v>48</v>
      </c>
      <c r="O14" s="6" t="s">
        <v>231</v>
      </c>
      <c r="P14" s="6" t="s">
        <v>48</v>
      </c>
      <c r="R14" s="6" t="s">
        <v>232</v>
      </c>
      <c r="S14" s="6" t="s">
        <v>233</v>
      </c>
      <c r="T14" s="6" t="s">
        <v>234</v>
      </c>
      <c r="U14" s="5">
        <v>43680.0</v>
      </c>
      <c r="V14" s="6" t="s">
        <v>54</v>
      </c>
      <c r="W14" s="6" t="s">
        <v>77</v>
      </c>
      <c r="X14" s="6" t="s">
        <v>102</v>
      </c>
      <c r="Z14" s="6" t="s">
        <v>235</v>
      </c>
      <c r="AA14" s="6" t="s">
        <v>162</v>
      </c>
      <c r="AB14" s="6">
        <v>7.0</v>
      </c>
      <c r="AC14" s="6" t="s">
        <v>236</v>
      </c>
      <c r="AD14" s="7" t="s">
        <v>227</v>
      </c>
      <c r="AE14" s="7" t="s">
        <v>230</v>
      </c>
      <c r="AF14" s="6" t="s">
        <v>237</v>
      </c>
      <c r="AG14" s="6" t="s">
        <v>238</v>
      </c>
      <c r="AH14" s="11" t="str">
        <f>HYPERLINK("https://drive.google.com/open?id=1CFvNc4W_19tK5ImnTXN-P27_a0XaTFIO", "https://drive.google.com/open?id=1CFvNc4W_19tK5ImnTXN-P27_a0XaTFIO")</f>
        <v>https://drive.google.com/open?id=1CFvNc4W_19tK5ImnTXN-P27_a0XaTFIO</v>
      </c>
      <c r="AJ14" s="6" t="s">
        <v>239</v>
      </c>
      <c r="AK14" s="6" t="s">
        <v>108</v>
      </c>
      <c r="AL14" s="3">
        <v>1.0</v>
      </c>
    </row>
    <row r="15" ht="22.5" customHeight="1">
      <c r="A15" s="4">
        <v>45832.687166180556</v>
      </c>
      <c r="B15" s="5">
        <v>45832.0</v>
      </c>
      <c r="C15" s="6" t="s">
        <v>240</v>
      </c>
      <c r="D15" s="6" t="s">
        <v>241</v>
      </c>
      <c r="E15" s="6" t="s">
        <v>242</v>
      </c>
      <c r="F15" s="6" t="s">
        <v>243</v>
      </c>
      <c r="G15" s="6" t="s">
        <v>244</v>
      </c>
      <c r="H15" s="7" t="s">
        <v>245</v>
      </c>
      <c r="I15" s="6" t="s">
        <v>246</v>
      </c>
      <c r="J15" s="6" t="s">
        <v>247</v>
      </c>
      <c r="K15" s="6" t="s">
        <v>248</v>
      </c>
      <c r="L15" s="7" t="s">
        <v>249</v>
      </c>
      <c r="M15" s="5">
        <v>45808.0</v>
      </c>
      <c r="N15" s="6" t="s">
        <v>48</v>
      </c>
      <c r="O15" s="6" t="s">
        <v>250</v>
      </c>
      <c r="P15" s="6" t="s">
        <v>48</v>
      </c>
      <c r="R15" s="6" t="s">
        <v>251</v>
      </c>
      <c r="S15" s="6" t="s">
        <v>252</v>
      </c>
      <c r="T15" s="6" t="s">
        <v>53</v>
      </c>
      <c r="U15" s="5">
        <v>44067.0</v>
      </c>
      <c r="V15" s="6" t="s">
        <v>54</v>
      </c>
      <c r="W15" s="6" t="s">
        <v>77</v>
      </c>
      <c r="X15" s="6" t="s">
        <v>102</v>
      </c>
      <c r="Y15" s="6" t="s">
        <v>123</v>
      </c>
      <c r="Z15" s="6" t="s">
        <v>253</v>
      </c>
      <c r="AA15" s="6" t="s">
        <v>254</v>
      </c>
      <c r="AB15" s="6">
        <v>5.0</v>
      </c>
      <c r="AC15" s="6" t="s">
        <v>255</v>
      </c>
      <c r="AE15" s="7" t="s">
        <v>256</v>
      </c>
      <c r="AF15" s="6" t="s">
        <v>257</v>
      </c>
      <c r="AG15" s="6" t="s">
        <v>258</v>
      </c>
      <c r="AH15" s="10" t="str">
        <f>HYPERLINK("https://drive.google.com/open?id=1GHrvOy-ge2AsGXkbBlkc9glVYfkAqMvN", "https://drive.google.com/open?id=1GHrvOy-ge2AsGXkbBlkc9glVYfkAqMvN")</f>
        <v>https://drive.google.com/open?id=1GHrvOy-ge2AsGXkbBlkc9glVYfkAqMvN</v>
      </c>
      <c r="AJ15" s="6" t="s">
        <v>259</v>
      </c>
      <c r="AK15" s="6" t="s">
        <v>108</v>
      </c>
      <c r="AL15" s="3">
        <v>1.0</v>
      </c>
    </row>
    <row r="16" ht="22.5" customHeight="1">
      <c r="A16" s="4">
        <v>45832.695609675924</v>
      </c>
      <c r="B16" s="5">
        <v>45087.0</v>
      </c>
      <c r="C16" s="6" t="s">
        <v>260</v>
      </c>
      <c r="D16" s="6" t="s">
        <v>261</v>
      </c>
      <c r="E16" s="6" t="s">
        <v>262</v>
      </c>
      <c r="F16" s="6" t="s">
        <v>263</v>
      </c>
      <c r="G16" s="6" t="s">
        <v>150</v>
      </c>
      <c r="H16" s="7" t="s">
        <v>264</v>
      </c>
      <c r="I16" s="6" t="s">
        <v>265</v>
      </c>
      <c r="J16" s="6" t="s">
        <v>266</v>
      </c>
      <c r="K16" s="6" t="s">
        <v>267</v>
      </c>
      <c r="L16" s="7" t="s">
        <v>268</v>
      </c>
      <c r="M16" s="5">
        <v>45808.0</v>
      </c>
      <c r="N16" s="6" t="s">
        <v>176</v>
      </c>
      <c r="O16" s="6" t="s">
        <v>269</v>
      </c>
      <c r="P16" s="6" t="s">
        <v>176</v>
      </c>
      <c r="Q16" s="6" t="s">
        <v>270</v>
      </c>
      <c r="R16" s="6" t="s">
        <v>271</v>
      </c>
      <c r="S16" s="6" t="s">
        <v>272</v>
      </c>
      <c r="T16" s="6" t="s">
        <v>273</v>
      </c>
      <c r="U16" s="5">
        <v>41538.0</v>
      </c>
      <c r="V16" s="6" t="s">
        <v>54</v>
      </c>
      <c r="W16" s="6" t="s">
        <v>77</v>
      </c>
      <c r="X16" s="6" t="s">
        <v>102</v>
      </c>
      <c r="Z16" s="6" t="s">
        <v>274</v>
      </c>
      <c r="AA16" s="6" t="s">
        <v>275</v>
      </c>
      <c r="AB16" s="6">
        <v>5.0</v>
      </c>
      <c r="AE16" s="7" t="s">
        <v>276</v>
      </c>
      <c r="AF16" s="6" t="s">
        <v>277</v>
      </c>
      <c r="AG16" s="6" t="s">
        <v>278</v>
      </c>
      <c r="AH16" s="11" t="str">
        <f t="shared" ref="AH16:AH17" si="4">HYPERLINK("https://drive.google.com/open?id=1f-67pPEiB_o0HCyVbvOqgaTgmjcZ8Quj", "https://drive.google.com/open?id=1f-67pPEiB_o0HCyVbvOqgaTgmjcZ8Quj")</f>
        <v>https://drive.google.com/open?id=1f-67pPEiB_o0HCyVbvOqgaTgmjcZ8Quj</v>
      </c>
      <c r="AJ16" s="6" t="s">
        <v>279</v>
      </c>
      <c r="AK16" s="6" t="s">
        <v>108</v>
      </c>
      <c r="AL16" s="3">
        <v>2.0</v>
      </c>
    </row>
    <row r="17" ht="22.5" customHeight="1">
      <c r="A17" s="4">
        <v>45832.70560756944</v>
      </c>
      <c r="B17" s="5">
        <v>45087.0</v>
      </c>
      <c r="C17" s="6" t="s">
        <v>260</v>
      </c>
      <c r="D17" s="6" t="s">
        <v>261</v>
      </c>
      <c r="E17" s="6" t="s">
        <v>262</v>
      </c>
      <c r="F17" s="6" t="s">
        <v>280</v>
      </c>
      <c r="G17" s="6" t="s">
        <v>66</v>
      </c>
      <c r="H17" s="7" t="s">
        <v>264</v>
      </c>
      <c r="I17" s="6" t="s">
        <v>265</v>
      </c>
      <c r="J17" s="6" t="s">
        <v>281</v>
      </c>
      <c r="K17" s="6" t="s">
        <v>282</v>
      </c>
      <c r="L17" s="7" t="s">
        <v>283</v>
      </c>
      <c r="M17" s="5">
        <v>45808.0</v>
      </c>
      <c r="N17" s="6" t="s">
        <v>48</v>
      </c>
      <c r="O17" s="6" t="s">
        <v>269</v>
      </c>
      <c r="P17" s="6" t="s">
        <v>48</v>
      </c>
      <c r="Q17" s="6" t="s">
        <v>270</v>
      </c>
      <c r="R17" s="6" t="s">
        <v>284</v>
      </c>
      <c r="S17" s="6" t="s">
        <v>285</v>
      </c>
      <c r="T17" s="6" t="s">
        <v>273</v>
      </c>
      <c r="U17" s="5">
        <v>41599.0</v>
      </c>
      <c r="V17" s="6" t="s">
        <v>54</v>
      </c>
      <c r="W17" s="6" t="s">
        <v>77</v>
      </c>
      <c r="X17" s="6" t="s">
        <v>102</v>
      </c>
      <c r="Y17" s="6" t="s">
        <v>160</v>
      </c>
      <c r="Z17" s="6" t="s">
        <v>286</v>
      </c>
      <c r="AA17" s="6" t="s">
        <v>275</v>
      </c>
      <c r="AE17" s="7" t="s">
        <v>264</v>
      </c>
      <c r="AG17" s="6" t="s">
        <v>287</v>
      </c>
      <c r="AH17" s="10" t="str">
        <f t="shared" si="4"/>
        <v>https://drive.google.com/open?id=1f-67pPEiB_o0HCyVbvOqgaTgmjcZ8Quj</v>
      </c>
      <c r="AJ17" s="6" t="s">
        <v>288</v>
      </c>
      <c r="AK17" s="6" t="s">
        <v>108</v>
      </c>
      <c r="AL17" s="3">
        <v>2.0</v>
      </c>
    </row>
    <row r="18" ht="22.5" customHeight="1">
      <c r="A18" s="4">
        <v>45832.787243495375</v>
      </c>
      <c r="B18" s="5" t="s">
        <v>289</v>
      </c>
      <c r="C18" s="6" t="s">
        <v>290</v>
      </c>
      <c r="D18" s="6" t="s">
        <v>291</v>
      </c>
      <c r="E18" s="6" t="s">
        <v>292</v>
      </c>
      <c r="F18" s="6" t="s">
        <v>293</v>
      </c>
      <c r="G18" s="6" t="s">
        <v>294</v>
      </c>
      <c r="H18" s="7" t="s">
        <v>295</v>
      </c>
      <c r="I18" s="6" t="s">
        <v>296</v>
      </c>
      <c r="J18" s="6" t="s">
        <v>297</v>
      </c>
      <c r="K18" s="6" t="s">
        <v>298</v>
      </c>
      <c r="L18" s="7" t="s">
        <v>299</v>
      </c>
      <c r="M18" s="5">
        <v>45808.0</v>
      </c>
      <c r="N18" s="6" t="s">
        <v>48</v>
      </c>
      <c r="O18" s="6" t="s">
        <v>300</v>
      </c>
      <c r="P18" s="6" t="s">
        <v>48</v>
      </c>
      <c r="Q18" s="6" t="s">
        <v>301</v>
      </c>
      <c r="R18" s="6" t="s">
        <v>302</v>
      </c>
      <c r="S18" s="6" t="s">
        <v>303</v>
      </c>
      <c r="T18" s="6" t="s">
        <v>76</v>
      </c>
      <c r="U18" s="5">
        <v>43689.0</v>
      </c>
      <c r="V18" s="6" t="s">
        <v>54</v>
      </c>
      <c r="W18" s="6" t="s">
        <v>77</v>
      </c>
      <c r="X18" s="6" t="s">
        <v>102</v>
      </c>
      <c r="Y18" s="6" t="s">
        <v>78</v>
      </c>
      <c r="Z18" s="6" t="s">
        <v>304</v>
      </c>
      <c r="AA18" s="6" t="s">
        <v>305</v>
      </c>
      <c r="AB18" s="7" t="s">
        <v>306</v>
      </c>
      <c r="AD18" s="7" t="s">
        <v>307</v>
      </c>
      <c r="AE18" s="7" t="s">
        <v>299</v>
      </c>
      <c r="AF18" s="6" t="s">
        <v>308</v>
      </c>
      <c r="AG18" s="6" t="s">
        <v>309</v>
      </c>
      <c r="AH18" s="11" t="str">
        <f>HYPERLINK("https://drive.google.com/open?id=1mQckurz4kjXkoiJi-Q9gBmOxX2ojCg34", "https://drive.google.com/open?id=1mQckurz4kjXkoiJi-Q9gBmOxX2ojCg34")</f>
        <v>https://drive.google.com/open?id=1mQckurz4kjXkoiJi-Q9gBmOxX2ojCg34</v>
      </c>
      <c r="AK18" s="6" t="s">
        <v>166</v>
      </c>
      <c r="AL18" s="3">
        <v>1.0</v>
      </c>
    </row>
    <row r="19" ht="22.5" customHeight="1">
      <c r="A19" s="4">
        <v>45834.44180532407</v>
      </c>
      <c r="B19" s="5">
        <v>44820.0</v>
      </c>
      <c r="C19" s="6" t="s">
        <v>310</v>
      </c>
      <c r="D19" s="6" t="s">
        <v>311</v>
      </c>
      <c r="E19" s="6" t="s">
        <v>312</v>
      </c>
      <c r="F19" s="6" t="s">
        <v>313</v>
      </c>
      <c r="G19" s="6" t="s">
        <v>314</v>
      </c>
      <c r="H19" s="7" t="s">
        <v>315</v>
      </c>
      <c r="I19" s="6" t="s">
        <v>316</v>
      </c>
      <c r="J19" s="6" t="s">
        <v>317</v>
      </c>
      <c r="K19" s="6" t="s">
        <v>95</v>
      </c>
      <c r="L19" s="7" t="s">
        <v>318</v>
      </c>
      <c r="M19" s="5">
        <v>45808.0</v>
      </c>
      <c r="N19" s="6" t="s">
        <v>48</v>
      </c>
      <c r="O19" s="6" t="s">
        <v>319</v>
      </c>
      <c r="P19" s="6" t="s">
        <v>48</v>
      </c>
      <c r="Q19" s="6" t="s">
        <v>320</v>
      </c>
      <c r="R19" s="6" t="s">
        <v>321</v>
      </c>
      <c r="S19" s="6" t="s">
        <v>322</v>
      </c>
      <c r="T19" s="6" t="s">
        <v>76</v>
      </c>
      <c r="U19" s="5">
        <v>40944.0</v>
      </c>
      <c r="V19" s="6" t="s">
        <v>54</v>
      </c>
      <c r="W19" s="6" t="s">
        <v>77</v>
      </c>
      <c r="X19" s="6" t="s">
        <v>102</v>
      </c>
      <c r="Z19" s="6" t="s">
        <v>323</v>
      </c>
      <c r="AA19" s="6" t="s">
        <v>324</v>
      </c>
      <c r="AB19" s="6">
        <v>46.0</v>
      </c>
      <c r="AD19" s="7" t="s">
        <v>325</v>
      </c>
      <c r="AE19" s="7" t="s">
        <v>315</v>
      </c>
      <c r="AF19" s="6" t="s">
        <v>326</v>
      </c>
      <c r="AH19" s="10" t="str">
        <f>HYPERLINK("https://drive.google.com/open?id=1GfP0XVlvkFa1WGhImXApqC7G8YqWBP1G", "https://drive.google.com/open?id=1GfP0XVlvkFa1WGhImXApqC7G8YqWBP1G")</f>
        <v>https://drive.google.com/open?id=1GfP0XVlvkFa1WGhImXApqC7G8YqWBP1G</v>
      </c>
      <c r="AJ19" s="6" t="s">
        <v>327</v>
      </c>
      <c r="AK19" s="6" t="s">
        <v>166</v>
      </c>
      <c r="AL19" s="3">
        <v>2.0</v>
      </c>
    </row>
    <row r="20" ht="22.5" customHeight="1">
      <c r="A20" s="4">
        <v>45834.45120811343</v>
      </c>
      <c r="B20" s="5">
        <v>45833.0</v>
      </c>
      <c r="C20" s="6" t="s">
        <v>328</v>
      </c>
      <c r="D20" s="6" t="s">
        <v>329</v>
      </c>
      <c r="E20" s="6" t="s">
        <v>330</v>
      </c>
      <c r="F20" s="6" t="s">
        <v>331</v>
      </c>
      <c r="G20" s="6" t="s">
        <v>332</v>
      </c>
      <c r="H20" s="7" t="s">
        <v>333</v>
      </c>
      <c r="I20" s="6" t="s">
        <v>334</v>
      </c>
      <c r="J20" s="6" t="s">
        <v>335</v>
      </c>
      <c r="K20" s="6" t="s">
        <v>336</v>
      </c>
      <c r="L20" s="7" t="s">
        <v>333</v>
      </c>
      <c r="M20" s="5">
        <v>45808.0</v>
      </c>
      <c r="N20" s="6" t="s">
        <v>48</v>
      </c>
      <c r="O20" s="6" t="s">
        <v>337</v>
      </c>
      <c r="P20" s="6" t="s">
        <v>48</v>
      </c>
      <c r="R20" s="6" t="s">
        <v>338</v>
      </c>
      <c r="S20" s="6" t="s">
        <v>339</v>
      </c>
      <c r="T20" s="6" t="s">
        <v>340</v>
      </c>
      <c r="U20" s="5">
        <v>46053.0</v>
      </c>
      <c r="V20" s="6" t="s">
        <v>54</v>
      </c>
      <c r="W20" s="6" t="s">
        <v>77</v>
      </c>
      <c r="X20" s="6" t="s">
        <v>102</v>
      </c>
      <c r="Z20" s="6" t="s">
        <v>341</v>
      </c>
      <c r="AA20" s="6" t="s">
        <v>162</v>
      </c>
      <c r="AB20" s="6">
        <v>5.0</v>
      </c>
      <c r="AC20" s="6" t="s">
        <v>48</v>
      </c>
      <c r="AD20" s="7" t="s">
        <v>342</v>
      </c>
      <c r="AE20" s="7" t="s">
        <v>342</v>
      </c>
      <c r="AH20" s="11" t="str">
        <f>HYPERLINK("https://drive.google.com/file/d/1Jxxtahx_TuClWQcILMk5_dwbB-1P_Oa2/view?usp=drivesdk", "https://drive.google.com/file/d/1Jxxtahx_TuClWQcILMk5_dwbB-1P_Oa2/view?usp=drivesdk")</f>
        <v>https://drive.google.com/file/d/1Jxxtahx_TuClWQcILMk5_dwbB-1P_Oa2/view?usp=drivesdk</v>
      </c>
      <c r="AK20" s="6" t="s">
        <v>343</v>
      </c>
      <c r="AL20" s="13"/>
    </row>
    <row r="21" ht="22.5" customHeight="1">
      <c r="A21" s="4">
        <v>45834.45221004629</v>
      </c>
      <c r="B21" s="5">
        <v>45832.0</v>
      </c>
      <c r="C21" s="6" t="s">
        <v>344</v>
      </c>
      <c r="D21" s="6" t="s">
        <v>345</v>
      </c>
      <c r="E21" s="6" t="s">
        <v>346</v>
      </c>
      <c r="F21" s="6" t="s">
        <v>347</v>
      </c>
      <c r="G21" s="6" t="s">
        <v>348</v>
      </c>
      <c r="H21" s="7" t="s">
        <v>349</v>
      </c>
      <c r="I21" s="6" t="s">
        <v>350</v>
      </c>
      <c r="J21" s="6" t="s">
        <v>351</v>
      </c>
      <c r="K21" s="6" t="s">
        <v>352</v>
      </c>
      <c r="L21" s="7" t="s">
        <v>353</v>
      </c>
      <c r="M21" s="5">
        <v>45808.0</v>
      </c>
      <c r="N21" s="6" t="s">
        <v>48</v>
      </c>
      <c r="O21" s="6" t="s">
        <v>354</v>
      </c>
      <c r="P21" s="6" t="s">
        <v>48</v>
      </c>
      <c r="Q21" s="7" t="s">
        <v>355</v>
      </c>
      <c r="R21" s="6" t="s">
        <v>356</v>
      </c>
      <c r="S21" s="6" t="s">
        <v>357</v>
      </c>
      <c r="T21" s="6" t="s">
        <v>217</v>
      </c>
      <c r="U21" s="5">
        <v>36697.0</v>
      </c>
      <c r="V21" s="6" t="s">
        <v>54</v>
      </c>
      <c r="W21" s="6" t="s">
        <v>77</v>
      </c>
      <c r="X21" s="6" t="s">
        <v>102</v>
      </c>
      <c r="Y21" s="6" t="s">
        <v>123</v>
      </c>
      <c r="Z21" s="6" t="s">
        <v>358</v>
      </c>
      <c r="AA21" s="6" t="s">
        <v>359</v>
      </c>
      <c r="AB21" s="6">
        <v>43.0</v>
      </c>
      <c r="AC21" s="6" t="s">
        <v>360</v>
      </c>
      <c r="AD21" s="7" t="s">
        <v>361</v>
      </c>
      <c r="AE21" s="7" t="s">
        <v>361</v>
      </c>
      <c r="AF21" s="6" t="s">
        <v>362</v>
      </c>
      <c r="AG21" s="6" t="s">
        <v>363</v>
      </c>
      <c r="AH21" s="10" t="str">
        <f>HYPERLINK("https://drive.google.com/open?id=1vQwGjDutCGGEX5vJYOMebSBzHpDGSKmE", "https://drive.google.com/open?id=1vQwGjDutCGGEX5vJYOMebSBzHpDGSKmE")</f>
        <v>https://drive.google.com/open?id=1vQwGjDutCGGEX5vJYOMebSBzHpDGSKmE</v>
      </c>
      <c r="AK21" s="6" t="s">
        <v>364</v>
      </c>
      <c r="AL21" s="13"/>
    </row>
    <row r="22" ht="22.5" customHeight="1">
      <c r="A22" s="4">
        <v>45834.459299594906</v>
      </c>
      <c r="B22" s="5">
        <v>44820.0</v>
      </c>
      <c r="C22" s="6" t="s">
        <v>365</v>
      </c>
      <c r="D22" s="6" t="s">
        <v>366</v>
      </c>
      <c r="E22" s="6" t="s">
        <v>312</v>
      </c>
      <c r="F22" s="6" t="s">
        <v>313</v>
      </c>
      <c r="G22" s="6" t="s">
        <v>314</v>
      </c>
      <c r="H22" s="7" t="s">
        <v>315</v>
      </c>
      <c r="I22" s="6" t="s">
        <v>316</v>
      </c>
      <c r="J22" s="6" t="s">
        <v>317</v>
      </c>
      <c r="K22" s="6" t="s">
        <v>95</v>
      </c>
      <c r="L22" s="7" t="s">
        <v>318</v>
      </c>
      <c r="M22" s="5">
        <v>45808.0</v>
      </c>
      <c r="N22" s="6" t="s">
        <v>48</v>
      </c>
      <c r="O22" s="6" t="s">
        <v>367</v>
      </c>
      <c r="P22" s="6" t="s">
        <v>48</v>
      </c>
      <c r="Q22" s="6" t="s">
        <v>368</v>
      </c>
      <c r="R22" s="6" t="s">
        <v>321</v>
      </c>
      <c r="S22" s="6" t="s">
        <v>322</v>
      </c>
      <c r="T22" s="6" t="s">
        <v>76</v>
      </c>
      <c r="U22" s="5">
        <v>42354.0</v>
      </c>
      <c r="V22" s="6" t="s">
        <v>54</v>
      </c>
      <c r="W22" s="6" t="s">
        <v>77</v>
      </c>
      <c r="X22" s="6" t="s">
        <v>102</v>
      </c>
      <c r="Z22" s="6" t="s">
        <v>369</v>
      </c>
      <c r="AA22" s="6" t="s">
        <v>370</v>
      </c>
      <c r="AB22" s="6">
        <v>8.0</v>
      </c>
      <c r="AD22" s="7" t="s">
        <v>315</v>
      </c>
      <c r="AE22" s="7" t="s">
        <v>325</v>
      </c>
      <c r="AF22" s="6" t="s">
        <v>371</v>
      </c>
      <c r="AH22" s="11" t="str">
        <f>HYPERLINK("https://drive.google.com/open?id=1G1_vu3kEuLidibiQSoz5MbiNfwRGhhtU", "https://drive.google.com/open?id=1G1_vu3kEuLidibiQSoz5MbiNfwRGhhtU")</f>
        <v>https://drive.google.com/open?id=1G1_vu3kEuLidibiQSoz5MbiNfwRGhhtU</v>
      </c>
      <c r="AJ22" s="6" t="s">
        <v>372</v>
      </c>
      <c r="AK22" s="6" t="s">
        <v>166</v>
      </c>
      <c r="AL22" s="13"/>
    </row>
    <row r="23" ht="22.5" customHeight="1">
      <c r="A23" s="4">
        <v>45834.46987892361</v>
      </c>
      <c r="B23" s="5">
        <v>45292.0</v>
      </c>
      <c r="C23" s="6" t="s">
        <v>373</v>
      </c>
      <c r="D23" s="6" t="s">
        <v>374</v>
      </c>
      <c r="E23" s="6" t="s">
        <v>375</v>
      </c>
      <c r="F23" s="6" t="s">
        <v>376</v>
      </c>
      <c r="G23" s="6" t="s">
        <v>377</v>
      </c>
      <c r="H23" s="7" t="s">
        <v>378</v>
      </c>
      <c r="I23" s="6" t="s">
        <v>379</v>
      </c>
      <c r="J23" s="6" t="s">
        <v>380</v>
      </c>
      <c r="K23" s="6" t="s">
        <v>336</v>
      </c>
      <c r="L23" s="7" t="s">
        <v>381</v>
      </c>
      <c r="M23" s="5">
        <v>45808.0</v>
      </c>
      <c r="N23" s="6" t="s">
        <v>48</v>
      </c>
      <c r="O23" s="6" t="s">
        <v>382</v>
      </c>
      <c r="P23" s="6" t="s">
        <v>48</v>
      </c>
      <c r="Q23" s="6" t="s">
        <v>383</v>
      </c>
      <c r="R23" s="6" t="s">
        <v>384</v>
      </c>
      <c r="S23" s="6" t="s">
        <v>385</v>
      </c>
      <c r="T23" s="6" t="s">
        <v>386</v>
      </c>
      <c r="U23" s="5">
        <v>42826.0</v>
      </c>
      <c r="V23" s="6" t="s">
        <v>54</v>
      </c>
      <c r="W23" s="6" t="s">
        <v>55</v>
      </c>
      <c r="X23" s="6" t="s">
        <v>102</v>
      </c>
      <c r="Y23" s="6" t="s">
        <v>160</v>
      </c>
      <c r="Z23" s="6" t="s">
        <v>387</v>
      </c>
      <c r="AA23" s="6" t="s">
        <v>388</v>
      </c>
      <c r="AB23" s="7" t="s">
        <v>389</v>
      </c>
      <c r="AD23" s="7" t="s">
        <v>381</v>
      </c>
      <c r="AE23" s="7" t="s">
        <v>378</v>
      </c>
      <c r="AF23" s="6" t="s">
        <v>390</v>
      </c>
      <c r="AG23" s="6" t="s">
        <v>375</v>
      </c>
      <c r="AH23" s="11" t="str">
        <f>HYPERLINK("https://drive.google.com/open?id=1Gkvc2K7kGRfTi8ZnU9Vjpsitw3TA194S", "https://drive.google.com/open?id=1Gkvc2K7kGRfTi8ZnU9Vjpsitw3TA194S")</f>
        <v>https://drive.google.com/open?id=1Gkvc2K7kGRfTi8ZnU9Vjpsitw3TA194S</v>
      </c>
      <c r="AK23" s="6" t="s">
        <v>343</v>
      </c>
      <c r="AL23" s="13"/>
    </row>
    <row r="24" ht="22.5" customHeight="1">
      <c r="A24" s="4">
        <v>45834.485495671295</v>
      </c>
      <c r="B24" s="5">
        <v>45834.0</v>
      </c>
      <c r="C24" s="6" t="s">
        <v>391</v>
      </c>
      <c r="D24" s="6" t="s">
        <v>392</v>
      </c>
      <c r="E24" s="6" t="s">
        <v>393</v>
      </c>
      <c r="F24" s="6" t="s">
        <v>394</v>
      </c>
      <c r="G24" s="6" t="s">
        <v>395</v>
      </c>
      <c r="H24" s="7" t="s">
        <v>396</v>
      </c>
      <c r="I24" s="6" t="s">
        <v>397</v>
      </c>
      <c r="J24" s="6" t="s">
        <v>398</v>
      </c>
      <c r="K24" s="6" t="s">
        <v>399</v>
      </c>
      <c r="L24" s="7" t="s">
        <v>400</v>
      </c>
      <c r="M24" s="5">
        <v>45808.0</v>
      </c>
      <c r="N24" s="6" t="s">
        <v>71</v>
      </c>
      <c r="O24" s="6" t="s">
        <v>401</v>
      </c>
      <c r="P24" s="6" t="s">
        <v>71</v>
      </c>
      <c r="Q24" s="6" t="s">
        <v>402</v>
      </c>
      <c r="R24" s="6" t="s">
        <v>403</v>
      </c>
      <c r="S24" s="6" t="s">
        <v>404</v>
      </c>
      <c r="T24" s="6" t="s">
        <v>101</v>
      </c>
      <c r="U24" s="5">
        <v>42315.0</v>
      </c>
      <c r="V24" s="6" t="s">
        <v>54</v>
      </c>
      <c r="W24" s="6" t="s">
        <v>55</v>
      </c>
      <c r="X24" s="6" t="s">
        <v>102</v>
      </c>
      <c r="Y24" s="6" t="s">
        <v>123</v>
      </c>
      <c r="Z24" s="6" t="s">
        <v>405</v>
      </c>
      <c r="AA24" s="7" t="s">
        <v>199</v>
      </c>
      <c r="AB24" s="6">
        <v>41.0</v>
      </c>
      <c r="AC24" s="6" t="s">
        <v>406</v>
      </c>
      <c r="AD24" s="7" t="s">
        <v>407</v>
      </c>
      <c r="AE24" s="7" t="s">
        <v>408</v>
      </c>
      <c r="AF24" s="6" t="s">
        <v>409</v>
      </c>
      <c r="AG24" s="6" t="s">
        <v>410</v>
      </c>
      <c r="AH24" s="12" t="s">
        <v>222</v>
      </c>
      <c r="AK24" s="6" t="s">
        <v>166</v>
      </c>
      <c r="AL24" s="13"/>
    </row>
    <row r="25" ht="22.5" customHeight="1">
      <c r="A25" s="4">
        <v>45834.52693982639</v>
      </c>
      <c r="B25" s="5">
        <v>44869.0</v>
      </c>
      <c r="C25" s="6" t="s">
        <v>411</v>
      </c>
      <c r="D25" s="6" t="s">
        <v>412</v>
      </c>
      <c r="E25" s="6" t="s">
        <v>413</v>
      </c>
      <c r="F25" s="6" t="s">
        <v>414</v>
      </c>
      <c r="G25" s="6" t="s">
        <v>377</v>
      </c>
      <c r="H25" s="7" t="s">
        <v>415</v>
      </c>
      <c r="I25" s="6" t="s">
        <v>416</v>
      </c>
      <c r="J25" s="6" t="s">
        <v>417</v>
      </c>
      <c r="K25" s="6" t="s">
        <v>150</v>
      </c>
      <c r="L25" s="7" t="s">
        <v>418</v>
      </c>
      <c r="M25" s="5">
        <v>45808.0</v>
      </c>
      <c r="N25" s="6" t="s">
        <v>176</v>
      </c>
      <c r="O25" s="6" t="s">
        <v>419</v>
      </c>
      <c r="P25" s="6" t="s">
        <v>176</v>
      </c>
      <c r="R25" s="6" t="s">
        <v>420</v>
      </c>
      <c r="S25" s="6" t="s">
        <v>421</v>
      </c>
      <c r="T25" s="6" t="s">
        <v>217</v>
      </c>
      <c r="U25" s="5">
        <v>40847.0</v>
      </c>
      <c r="V25" s="6" t="s">
        <v>54</v>
      </c>
      <c r="W25" s="6" t="s">
        <v>77</v>
      </c>
      <c r="X25" s="6" t="s">
        <v>102</v>
      </c>
      <c r="Z25" s="6" t="s">
        <v>422</v>
      </c>
      <c r="AA25" s="6" t="s">
        <v>423</v>
      </c>
      <c r="AB25" s="6">
        <v>44.0</v>
      </c>
      <c r="AC25" s="6" t="s">
        <v>424</v>
      </c>
      <c r="AD25" s="7" t="s">
        <v>415</v>
      </c>
      <c r="AE25" s="7" t="s">
        <v>415</v>
      </c>
      <c r="AH25" s="11" t="str">
        <f>HYPERLINK("https://drive.google.com/open?id=1UU9aflFYSUt-i0H329YVqpWomCu3Khus", "https://drive.google.com/open?id=1UU9aflFYSUt-i0H329YVqpWomCu3Khus")</f>
        <v>https://drive.google.com/open?id=1UU9aflFYSUt-i0H329YVqpWomCu3Khus</v>
      </c>
      <c r="AJ25" s="6" t="s">
        <v>425</v>
      </c>
      <c r="AK25" s="6" t="s">
        <v>203</v>
      </c>
      <c r="AL25" s="13"/>
    </row>
    <row r="26" ht="22.5" customHeight="1">
      <c r="A26" s="4">
        <v>45834.52850900463</v>
      </c>
      <c r="B26" s="5">
        <v>45834.0</v>
      </c>
      <c r="C26" s="6" t="s">
        <v>426</v>
      </c>
      <c r="D26" s="6" t="s">
        <v>427</v>
      </c>
      <c r="E26" s="6" t="s">
        <v>428</v>
      </c>
      <c r="F26" s="6" t="s">
        <v>429</v>
      </c>
      <c r="G26" s="6" t="s">
        <v>377</v>
      </c>
      <c r="H26" s="7" t="s">
        <v>430</v>
      </c>
      <c r="I26" s="6" t="s">
        <v>431</v>
      </c>
      <c r="J26" s="6" t="s">
        <v>432</v>
      </c>
      <c r="K26" s="6" t="s">
        <v>377</v>
      </c>
      <c r="L26" s="7" t="s">
        <v>433</v>
      </c>
      <c r="M26" s="5">
        <v>45808.0</v>
      </c>
      <c r="N26" s="6" t="s">
        <v>48</v>
      </c>
      <c r="O26" s="6" t="s">
        <v>434</v>
      </c>
      <c r="P26" s="6" t="s">
        <v>48</v>
      </c>
      <c r="Q26" s="6" t="s">
        <v>435</v>
      </c>
      <c r="R26" s="6" t="s">
        <v>436</v>
      </c>
      <c r="S26" s="6" t="s">
        <v>437</v>
      </c>
      <c r="T26" s="6" t="s">
        <v>438</v>
      </c>
      <c r="U26" s="5">
        <v>43097.0</v>
      </c>
      <c r="V26" s="6" t="s">
        <v>54</v>
      </c>
      <c r="W26" s="6" t="s">
        <v>77</v>
      </c>
      <c r="X26" s="6" t="s">
        <v>102</v>
      </c>
      <c r="Y26" s="6" t="s">
        <v>439</v>
      </c>
      <c r="Z26" s="6" t="s">
        <v>440</v>
      </c>
      <c r="AA26" s="6" t="s">
        <v>441</v>
      </c>
      <c r="AB26" s="6" t="s">
        <v>442</v>
      </c>
      <c r="AD26" s="7" t="s">
        <v>433</v>
      </c>
      <c r="AE26" s="7" t="s">
        <v>433</v>
      </c>
      <c r="AF26" s="6" t="s">
        <v>443</v>
      </c>
      <c r="AG26" s="6" t="s">
        <v>444</v>
      </c>
      <c r="AH26" s="10" t="str">
        <f>HYPERLINK("https://drive.google.com/open?id=1Xi_wGwxy0WbNv76YFoweumg4AKQrkj-N", "https://drive.google.com/open?id=1Xi_wGwxy0WbNv76YFoweumg4AKQrkj-N")</f>
        <v>https://drive.google.com/open?id=1Xi_wGwxy0WbNv76YFoweumg4AKQrkj-N</v>
      </c>
      <c r="AK26" s="6" t="s">
        <v>445</v>
      </c>
      <c r="AL26" s="13"/>
    </row>
    <row r="27" ht="22.5" customHeight="1">
      <c r="A27" s="4">
        <v>45834.53090070601</v>
      </c>
      <c r="B27" s="5">
        <v>44869.0</v>
      </c>
      <c r="C27" s="6" t="s">
        <v>411</v>
      </c>
      <c r="D27" s="6" t="s">
        <v>412</v>
      </c>
      <c r="E27" s="6" t="s">
        <v>413</v>
      </c>
      <c r="F27" s="6" t="s">
        <v>414</v>
      </c>
      <c r="G27" s="6" t="s">
        <v>377</v>
      </c>
      <c r="H27" s="7" t="s">
        <v>415</v>
      </c>
      <c r="I27" s="6" t="s">
        <v>416</v>
      </c>
      <c r="J27" s="6" t="s">
        <v>417</v>
      </c>
      <c r="K27" s="6" t="s">
        <v>150</v>
      </c>
      <c r="L27" s="7" t="s">
        <v>418</v>
      </c>
      <c r="M27" s="5">
        <v>45808.0</v>
      </c>
      <c r="N27" s="6" t="s">
        <v>48</v>
      </c>
      <c r="O27" s="6" t="s">
        <v>419</v>
      </c>
      <c r="P27" s="6" t="s">
        <v>48</v>
      </c>
      <c r="R27" s="6" t="s">
        <v>420</v>
      </c>
      <c r="S27" s="6" t="s">
        <v>421</v>
      </c>
      <c r="T27" s="6" t="s">
        <v>217</v>
      </c>
      <c r="U27" s="5">
        <v>40847.0</v>
      </c>
      <c r="V27" s="6" t="s">
        <v>54</v>
      </c>
      <c r="W27" s="6" t="s">
        <v>77</v>
      </c>
      <c r="X27" s="6" t="s">
        <v>102</v>
      </c>
      <c r="Z27" s="6" t="s">
        <v>422</v>
      </c>
      <c r="AA27" s="6" t="s">
        <v>423</v>
      </c>
      <c r="AB27" s="6">
        <v>44.0</v>
      </c>
      <c r="AC27" s="6" t="s">
        <v>424</v>
      </c>
      <c r="AD27" s="7" t="s">
        <v>415</v>
      </c>
      <c r="AE27" s="7" t="s">
        <v>415</v>
      </c>
      <c r="AH27" s="11" t="str">
        <f>HYPERLINK("https://drive.google.com/open?id=1UU9aflFYSUt-i0H329YVqpWomCu3Khus", "https://drive.google.com/open?id=1UU9aflFYSUt-i0H329YVqpWomCu3Khus")</f>
        <v>https://drive.google.com/open?id=1UU9aflFYSUt-i0H329YVqpWomCu3Khus</v>
      </c>
      <c r="AJ27" s="6" t="s">
        <v>446</v>
      </c>
      <c r="AK27" s="6" t="s">
        <v>166</v>
      </c>
      <c r="AL27" s="13"/>
    </row>
    <row r="28" ht="22.5" customHeight="1">
      <c r="A28" s="4">
        <v>45834.54662795139</v>
      </c>
      <c r="B28" s="5">
        <v>45834.0</v>
      </c>
      <c r="C28" s="6" t="s">
        <v>447</v>
      </c>
      <c r="D28" s="6" t="s">
        <v>448</v>
      </c>
      <c r="E28" s="6" t="s">
        <v>449</v>
      </c>
      <c r="F28" s="6" t="s">
        <v>450</v>
      </c>
      <c r="G28" s="6" t="s">
        <v>348</v>
      </c>
      <c r="H28" s="7" t="s">
        <v>451</v>
      </c>
      <c r="I28" s="6" t="s">
        <v>452</v>
      </c>
      <c r="J28" s="6" t="s">
        <v>453</v>
      </c>
      <c r="K28" s="6" t="s">
        <v>95</v>
      </c>
      <c r="L28" s="7" t="s">
        <v>454</v>
      </c>
      <c r="M28" s="5">
        <v>45808.0</v>
      </c>
      <c r="N28" s="6" t="s">
        <v>48</v>
      </c>
      <c r="O28" s="6" t="s">
        <v>455</v>
      </c>
      <c r="P28" s="6" t="s">
        <v>48</v>
      </c>
      <c r="Q28" s="6" t="s">
        <v>456</v>
      </c>
      <c r="R28" s="6" t="s">
        <v>457</v>
      </c>
      <c r="S28" s="6" t="s">
        <v>458</v>
      </c>
      <c r="T28" s="6" t="s">
        <v>459</v>
      </c>
      <c r="U28" s="5">
        <v>38679.0</v>
      </c>
      <c r="V28" s="6" t="s">
        <v>54</v>
      </c>
      <c r="W28" s="6" t="s">
        <v>77</v>
      </c>
      <c r="X28" s="6" t="s">
        <v>102</v>
      </c>
      <c r="Y28" s="6" t="s">
        <v>160</v>
      </c>
      <c r="Z28" s="6" t="s">
        <v>460</v>
      </c>
      <c r="AA28" s="6" t="s">
        <v>461</v>
      </c>
      <c r="AB28" s="6">
        <v>224.0</v>
      </c>
      <c r="AC28" s="6" t="s">
        <v>462</v>
      </c>
      <c r="AD28" s="7" t="s">
        <v>463</v>
      </c>
      <c r="AE28" s="7" t="s">
        <v>463</v>
      </c>
      <c r="AG28" s="6" t="s">
        <v>464</v>
      </c>
      <c r="AH28" s="10" t="str">
        <f>HYPERLINK("https://drive.google.com/open?id=1u7o-GJ619vC_oAgGeCx2FWNdwKMoFBy0", "https://drive.google.com/open?id=1u7o-GJ619vC_oAgGeCx2FWNdwKMoFBy0")</f>
        <v>https://drive.google.com/open?id=1u7o-GJ619vC_oAgGeCx2FWNdwKMoFBy0</v>
      </c>
      <c r="AK28" s="6" t="s">
        <v>166</v>
      </c>
      <c r="AL28" s="13"/>
    </row>
    <row r="29" ht="22.5" customHeight="1">
      <c r="A29" s="4">
        <v>45837.611301365745</v>
      </c>
      <c r="B29" s="5">
        <v>45820.0</v>
      </c>
      <c r="C29" s="6" t="s">
        <v>465</v>
      </c>
      <c r="D29" s="6" t="s">
        <v>466</v>
      </c>
      <c r="E29" s="6" t="s">
        <v>467</v>
      </c>
      <c r="F29" s="6" t="s">
        <v>468</v>
      </c>
      <c r="G29" s="6" t="s">
        <v>332</v>
      </c>
      <c r="H29" s="7" t="s">
        <v>469</v>
      </c>
      <c r="I29" s="6" t="s">
        <v>470</v>
      </c>
      <c r="J29" s="6" t="s">
        <v>471</v>
      </c>
      <c r="K29" s="6" t="s">
        <v>336</v>
      </c>
      <c r="L29" s="7" t="s">
        <v>472</v>
      </c>
      <c r="M29" s="5">
        <v>45808.0</v>
      </c>
      <c r="N29" s="6" t="s">
        <v>48</v>
      </c>
      <c r="O29" s="6" t="s">
        <v>473</v>
      </c>
      <c r="P29" s="6" t="s">
        <v>48</v>
      </c>
      <c r="Q29" s="6" t="s">
        <v>474</v>
      </c>
      <c r="R29" s="6" t="s">
        <v>475</v>
      </c>
      <c r="S29" s="6" t="s">
        <v>476</v>
      </c>
      <c r="T29" s="6" t="s">
        <v>477</v>
      </c>
      <c r="U29" s="5">
        <v>44022.0</v>
      </c>
      <c r="V29" s="6" t="s">
        <v>54</v>
      </c>
      <c r="W29" s="6" t="s">
        <v>77</v>
      </c>
      <c r="X29" s="6" t="s">
        <v>102</v>
      </c>
      <c r="Y29" s="6" t="s">
        <v>78</v>
      </c>
      <c r="Z29" s="6" t="s">
        <v>478</v>
      </c>
      <c r="AA29" s="6" t="s">
        <v>162</v>
      </c>
      <c r="AB29" s="6">
        <v>23.0</v>
      </c>
      <c r="AC29" s="6" t="s">
        <v>479</v>
      </c>
      <c r="AD29" s="7" t="s">
        <v>469</v>
      </c>
      <c r="AE29" s="7" t="s">
        <v>472</v>
      </c>
      <c r="AF29" s="6" t="s">
        <v>480</v>
      </c>
      <c r="AG29" s="14" t="s">
        <v>481</v>
      </c>
      <c r="AH29" s="11" t="str">
        <f>HYPERLINK("https://drive.google.com/open?id=1KE_rooJ4XpxIdbLQssfcF6OkrOech3SR", "https://drive.google.com/open?id=1KE_rooJ4XpxIdbLQssfcF6OkrOech3SR")</f>
        <v>https://drive.google.com/open?id=1KE_rooJ4XpxIdbLQssfcF6OkrOech3SR</v>
      </c>
      <c r="AJ29" s="6" t="s">
        <v>482</v>
      </c>
      <c r="AK29" s="6" t="s">
        <v>483</v>
      </c>
      <c r="AL29" s="13"/>
    </row>
    <row r="30" ht="22.5" customHeight="1">
      <c r="A30" s="4">
        <v>45837.628127766206</v>
      </c>
      <c r="B30" s="5">
        <v>45292.0</v>
      </c>
      <c r="C30" s="6" t="s">
        <v>484</v>
      </c>
      <c r="D30" s="6" t="s">
        <v>485</v>
      </c>
      <c r="E30" s="6" t="s">
        <v>486</v>
      </c>
      <c r="F30" s="6" t="s">
        <v>487</v>
      </c>
      <c r="G30" s="6" t="s">
        <v>488</v>
      </c>
      <c r="H30" s="7" t="s">
        <v>489</v>
      </c>
      <c r="I30" s="6" t="s">
        <v>490</v>
      </c>
      <c r="J30" s="6" t="s">
        <v>491</v>
      </c>
      <c r="K30" s="6" t="s">
        <v>336</v>
      </c>
      <c r="L30" s="7" t="s">
        <v>492</v>
      </c>
      <c r="M30" s="5">
        <v>45808.0</v>
      </c>
      <c r="N30" s="6" t="s">
        <v>48</v>
      </c>
      <c r="O30" s="6" t="s">
        <v>493</v>
      </c>
      <c r="P30" s="6" t="s">
        <v>48</v>
      </c>
      <c r="Q30" s="6" t="s">
        <v>494</v>
      </c>
      <c r="R30" s="6" t="s">
        <v>495</v>
      </c>
      <c r="S30" s="6" t="s">
        <v>496</v>
      </c>
      <c r="T30" s="6" t="s">
        <v>497</v>
      </c>
      <c r="U30" s="5">
        <v>43908.0</v>
      </c>
      <c r="V30" s="6" t="s">
        <v>54</v>
      </c>
      <c r="W30" s="6" t="s">
        <v>55</v>
      </c>
      <c r="X30" s="6" t="s">
        <v>102</v>
      </c>
      <c r="Y30" s="6" t="s">
        <v>123</v>
      </c>
      <c r="Z30" s="6" t="s">
        <v>498</v>
      </c>
      <c r="AA30" s="6" t="s">
        <v>499</v>
      </c>
      <c r="AB30" s="6">
        <v>5.0</v>
      </c>
      <c r="AD30" s="7" t="s">
        <v>500</v>
      </c>
      <c r="AE30" s="7" t="s">
        <v>492</v>
      </c>
      <c r="AF30" s="6" t="s">
        <v>501</v>
      </c>
      <c r="AG30" s="14" t="s">
        <v>502</v>
      </c>
      <c r="AH30" s="10" t="str">
        <f t="shared" ref="AH30:AH31" si="5">HYPERLINK("https://drive.google.com/open?id=1nIbPjVSVZU5PCDK_BPE0q5qNZBaldKwj", "https://drive.google.com/open?id=1nIbPjVSVZU5PCDK_BPE0q5qNZBaldKwj")</f>
        <v>https://drive.google.com/open?id=1nIbPjVSVZU5PCDK_BPE0q5qNZBaldKwj</v>
      </c>
      <c r="AJ30" s="6" t="s">
        <v>503</v>
      </c>
      <c r="AK30" s="6" t="s">
        <v>483</v>
      </c>
      <c r="AL30" s="13"/>
    </row>
    <row r="31" ht="22.5" customHeight="1">
      <c r="A31" s="4">
        <v>45837.631540532406</v>
      </c>
      <c r="B31" s="5">
        <v>45292.0</v>
      </c>
      <c r="C31" s="6" t="s">
        <v>484</v>
      </c>
      <c r="D31" s="6" t="s">
        <v>485</v>
      </c>
      <c r="E31" s="6" t="s">
        <v>486</v>
      </c>
      <c r="F31" s="6" t="s">
        <v>487</v>
      </c>
      <c r="G31" s="6" t="s">
        <v>488</v>
      </c>
      <c r="H31" s="7" t="s">
        <v>489</v>
      </c>
      <c r="I31" s="6" t="s">
        <v>490</v>
      </c>
      <c r="J31" s="6" t="s">
        <v>491</v>
      </c>
      <c r="K31" s="6" t="s">
        <v>336</v>
      </c>
      <c r="L31" s="7" t="s">
        <v>492</v>
      </c>
      <c r="M31" s="5">
        <v>45808.0</v>
      </c>
      <c r="N31" s="6" t="s">
        <v>504</v>
      </c>
      <c r="O31" s="6" t="s">
        <v>493</v>
      </c>
      <c r="P31" s="6" t="s">
        <v>504</v>
      </c>
      <c r="Q31" s="6" t="s">
        <v>494</v>
      </c>
      <c r="R31" s="6" t="s">
        <v>495</v>
      </c>
      <c r="S31" s="6" t="s">
        <v>496</v>
      </c>
      <c r="T31" s="6" t="s">
        <v>497</v>
      </c>
      <c r="U31" s="5">
        <v>43908.0</v>
      </c>
      <c r="V31" s="6" t="s">
        <v>54</v>
      </c>
      <c r="W31" s="6" t="s">
        <v>55</v>
      </c>
      <c r="X31" s="6" t="s">
        <v>102</v>
      </c>
      <c r="Y31" s="6" t="s">
        <v>123</v>
      </c>
      <c r="Z31" s="6" t="s">
        <v>498</v>
      </c>
      <c r="AA31" s="6" t="s">
        <v>499</v>
      </c>
      <c r="AB31" s="6">
        <v>5.0</v>
      </c>
      <c r="AD31" s="7" t="s">
        <v>500</v>
      </c>
      <c r="AE31" s="7" t="s">
        <v>492</v>
      </c>
      <c r="AF31" s="6" t="s">
        <v>501</v>
      </c>
      <c r="AG31" s="14" t="s">
        <v>502</v>
      </c>
      <c r="AH31" s="11" t="str">
        <f t="shared" si="5"/>
        <v>https://drive.google.com/open?id=1nIbPjVSVZU5PCDK_BPE0q5qNZBaldKwj</v>
      </c>
      <c r="AJ31" s="6" t="s">
        <v>503</v>
      </c>
      <c r="AK31" s="6" t="s">
        <v>483</v>
      </c>
      <c r="AL31" s="13"/>
    </row>
    <row r="32" ht="22.5" customHeight="1">
      <c r="A32" s="4">
        <v>45837.65465515046</v>
      </c>
      <c r="B32" s="5">
        <v>45834.0</v>
      </c>
      <c r="C32" s="6" t="s">
        <v>505</v>
      </c>
      <c r="D32" s="6" t="s">
        <v>506</v>
      </c>
      <c r="E32" s="6" t="s">
        <v>507</v>
      </c>
      <c r="F32" s="6" t="s">
        <v>508</v>
      </c>
      <c r="G32" s="6" t="s">
        <v>150</v>
      </c>
      <c r="H32" s="7" t="s">
        <v>509</v>
      </c>
      <c r="I32" s="6" t="s">
        <v>510</v>
      </c>
      <c r="J32" s="6" t="s">
        <v>511</v>
      </c>
      <c r="K32" s="6" t="s">
        <v>336</v>
      </c>
      <c r="L32" s="7" t="s">
        <v>512</v>
      </c>
      <c r="M32" s="5">
        <v>45808.0</v>
      </c>
      <c r="N32" s="6" t="s">
        <v>48</v>
      </c>
      <c r="O32" s="6" t="s">
        <v>513</v>
      </c>
      <c r="P32" s="6" t="s">
        <v>48</v>
      </c>
      <c r="Q32" s="6" t="s">
        <v>514</v>
      </c>
      <c r="R32" s="6" t="s">
        <v>515</v>
      </c>
      <c r="S32" s="6" t="s">
        <v>516</v>
      </c>
      <c r="T32" s="6" t="s">
        <v>517</v>
      </c>
      <c r="U32" s="5">
        <v>43503.0</v>
      </c>
      <c r="V32" s="6" t="s">
        <v>54</v>
      </c>
      <c r="W32" s="6" t="s">
        <v>77</v>
      </c>
      <c r="X32" s="6" t="s">
        <v>102</v>
      </c>
      <c r="Y32" s="6" t="s">
        <v>123</v>
      </c>
      <c r="Z32" s="6" t="s">
        <v>518</v>
      </c>
      <c r="AA32" s="6" t="s">
        <v>519</v>
      </c>
      <c r="AD32" s="7" t="s">
        <v>512</v>
      </c>
      <c r="AE32" s="7" t="s">
        <v>512</v>
      </c>
      <c r="AH32" s="10" t="str">
        <f>HYPERLINK("https://drive.google.com/open?id=11ABkdwJwfYu7gWrs_2_1ijs9yX-skNGj", "https://drive.google.com/open?id=11ABkdwJwfYu7gWrs_2_1ijs9yX-skNGj")</f>
        <v>https://drive.google.com/open?id=11ABkdwJwfYu7gWrs_2_1ijs9yX-skNGj</v>
      </c>
      <c r="AJ32" s="6" t="s">
        <v>520</v>
      </c>
      <c r="AK32" s="6" t="s">
        <v>483</v>
      </c>
      <c r="AL32" s="13"/>
    </row>
    <row r="33" ht="22.5" customHeight="1">
      <c r="A33" s="4">
        <v>45837.68488778935</v>
      </c>
      <c r="B33" s="5">
        <v>45834.0</v>
      </c>
      <c r="C33" s="6" t="s">
        <v>521</v>
      </c>
      <c r="D33" s="6" t="s">
        <v>522</v>
      </c>
      <c r="E33" s="6" t="s">
        <v>523</v>
      </c>
      <c r="F33" s="6" t="s">
        <v>524</v>
      </c>
      <c r="G33" s="6" t="s">
        <v>150</v>
      </c>
      <c r="H33" s="7" t="s">
        <v>525</v>
      </c>
      <c r="I33" s="6" t="s">
        <v>526</v>
      </c>
      <c r="J33" s="6" t="s">
        <v>527</v>
      </c>
      <c r="K33" s="6" t="s">
        <v>336</v>
      </c>
      <c r="L33" s="7" t="s">
        <v>528</v>
      </c>
      <c r="M33" s="5">
        <v>45808.0</v>
      </c>
      <c r="N33" s="6" t="s">
        <v>71</v>
      </c>
      <c r="O33" s="6" t="s">
        <v>529</v>
      </c>
      <c r="P33" s="6" t="s">
        <v>71</v>
      </c>
      <c r="Q33" s="6" t="s">
        <v>530</v>
      </c>
      <c r="R33" s="6" t="s">
        <v>531</v>
      </c>
      <c r="S33" s="6" t="s">
        <v>532</v>
      </c>
      <c r="T33" s="6" t="s">
        <v>101</v>
      </c>
      <c r="U33" s="5">
        <v>38507.0</v>
      </c>
      <c r="V33" s="6" t="s">
        <v>54</v>
      </c>
      <c r="W33" s="6" t="s">
        <v>77</v>
      </c>
      <c r="X33" s="6" t="s">
        <v>102</v>
      </c>
      <c r="Y33" s="6" t="s">
        <v>160</v>
      </c>
      <c r="Z33" s="6" t="s">
        <v>533</v>
      </c>
      <c r="AA33" s="6" t="s">
        <v>534</v>
      </c>
      <c r="AD33" s="7" t="s">
        <v>535</v>
      </c>
      <c r="AE33" s="7" t="s">
        <v>525</v>
      </c>
      <c r="AF33" s="6" t="s">
        <v>536</v>
      </c>
      <c r="AH33" s="15" t="s">
        <v>222</v>
      </c>
      <c r="AK33" s="6" t="s">
        <v>445</v>
      </c>
      <c r="AL33" s="13"/>
    </row>
    <row r="34" ht="22.5" customHeight="1">
      <c r="A34" s="4">
        <v>45837.708944791666</v>
      </c>
      <c r="B34" s="5">
        <v>44567.0</v>
      </c>
      <c r="C34" s="6" t="s">
        <v>537</v>
      </c>
      <c r="D34" s="6" t="s">
        <v>538</v>
      </c>
      <c r="E34" s="6" t="s">
        <v>523</v>
      </c>
      <c r="F34" s="6" t="s">
        <v>539</v>
      </c>
      <c r="G34" s="6" t="s">
        <v>150</v>
      </c>
      <c r="H34" s="7" t="s">
        <v>525</v>
      </c>
      <c r="I34" s="6" t="s">
        <v>540</v>
      </c>
      <c r="J34" s="6" t="s">
        <v>541</v>
      </c>
      <c r="K34" s="6" t="s">
        <v>336</v>
      </c>
      <c r="L34" s="7" t="s">
        <v>528</v>
      </c>
      <c r="M34" s="5">
        <v>45808.0</v>
      </c>
      <c r="N34" s="6" t="s">
        <v>48</v>
      </c>
      <c r="O34" s="6" t="s">
        <v>542</v>
      </c>
      <c r="P34" s="6" t="s">
        <v>48</v>
      </c>
      <c r="R34" s="6" t="s">
        <v>543</v>
      </c>
      <c r="S34" s="6" t="s">
        <v>544</v>
      </c>
      <c r="T34" s="6" t="s">
        <v>101</v>
      </c>
      <c r="U34" s="5">
        <v>43431.0</v>
      </c>
      <c r="V34" s="6" t="s">
        <v>54</v>
      </c>
      <c r="W34" s="6" t="s">
        <v>55</v>
      </c>
      <c r="X34" s="6" t="s">
        <v>102</v>
      </c>
      <c r="Y34" s="6" t="s">
        <v>160</v>
      </c>
      <c r="Z34" s="6" t="s">
        <v>545</v>
      </c>
      <c r="AA34" s="6">
        <v>1.0</v>
      </c>
      <c r="AB34" s="6">
        <v>407.0</v>
      </c>
      <c r="AD34" s="7" t="s">
        <v>528</v>
      </c>
      <c r="AE34" s="7" t="s">
        <v>525</v>
      </c>
      <c r="AF34" s="6" t="s">
        <v>546</v>
      </c>
      <c r="AH34" s="8" t="str">
        <f>HYPERLINK("https://drive.google.com/open?id=1lpxCRPz5_LMWoPiHQae49o9STT8ohczA", "https://drive.google.com/open?id=1lpxCRPz5_LMWoPiHQae49o9STT8ohczA")</f>
        <v>https://drive.google.com/open?id=1lpxCRPz5_LMWoPiHQae49o9STT8ohczA</v>
      </c>
      <c r="AK34" s="6" t="s">
        <v>445</v>
      </c>
      <c r="AL34" s="16"/>
    </row>
    <row r="35" ht="22.5" customHeight="1">
      <c r="A35" s="4">
        <v>45837.714820995374</v>
      </c>
      <c r="B35" s="5">
        <v>44531.0</v>
      </c>
      <c r="C35" s="6" t="s">
        <v>547</v>
      </c>
      <c r="D35" s="6" t="s">
        <v>548</v>
      </c>
      <c r="E35" s="6" t="s">
        <v>549</v>
      </c>
      <c r="F35" s="6" t="s">
        <v>550</v>
      </c>
      <c r="G35" s="6" t="s">
        <v>150</v>
      </c>
      <c r="H35" s="7" t="s">
        <v>551</v>
      </c>
      <c r="I35" s="6" t="s">
        <v>552</v>
      </c>
      <c r="J35" s="6" t="s">
        <v>553</v>
      </c>
      <c r="K35" s="6" t="s">
        <v>554</v>
      </c>
      <c r="L35" s="7" t="s">
        <v>555</v>
      </c>
      <c r="M35" s="5">
        <v>45808.0</v>
      </c>
      <c r="N35" s="6" t="s">
        <v>48</v>
      </c>
      <c r="O35" s="6" t="s">
        <v>556</v>
      </c>
      <c r="P35" s="6" t="s">
        <v>48</v>
      </c>
      <c r="R35" s="6" t="s">
        <v>557</v>
      </c>
      <c r="S35" s="6" t="s">
        <v>558</v>
      </c>
      <c r="T35" s="6" t="s">
        <v>180</v>
      </c>
      <c r="U35" s="5">
        <v>41168.0</v>
      </c>
      <c r="V35" s="6" t="s">
        <v>54</v>
      </c>
      <c r="W35" s="6" t="s">
        <v>77</v>
      </c>
      <c r="X35" s="6" t="s">
        <v>102</v>
      </c>
      <c r="Y35" s="6" t="s">
        <v>78</v>
      </c>
      <c r="Z35" s="6" t="s">
        <v>79</v>
      </c>
      <c r="AA35" s="6">
        <v>6.0</v>
      </c>
      <c r="AB35" s="6">
        <v>14.0</v>
      </c>
      <c r="AD35" s="7" t="s">
        <v>555</v>
      </c>
      <c r="AE35" s="7" t="s">
        <v>555</v>
      </c>
      <c r="AF35" s="6" t="s">
        <v>559</v>
      </c>
      <c r="AG35" s="14" t="s">
        <v>560</v>
      </c>
      <c r="AH35" s="8" t="str">
        <f t="shared" ref="AH35:AH36" si="6">HYPERLINK("https://drive.google.com/open?id=19-ijh8at5SYxPtbYP37RGJG3cR7Nz3-8", "https://drive.google.com/open?id=19-ijh8at5SYxPtbYP37RGJG3cR7Nz3-8")</f>
        <v>https://drive.google.com/open?id=19-ijh8at5SYxPtbYP37RGJG3cR7Nz3-8</v>
      </c>
      <c r="AJ35" s="6" t="s">
        <v>561</v>
      </c>
      <c r="AK35" s="6" t="s">
        <v>562</v>
      </c>
      <c r="AL35" s="16"/>
    </row>
    <row r="36" ht="22.5" customHeight="1">
      <c r="A36" s="4">
        <v>45837.72114879629</v>
      </c>
      <c r="B36" s="5">
        <v>44531.0</v>
      </c>
      <c r="C36" s="6" t="s">
        <v>547</v>
      </c>
      <c r="D36" s="6" t="s">
        <v>548</v>
      </c>
      <c r="E36" s="6" t="s">
        <v>549</v>
      </c>
      <c r="F36" s="6" t="s">
        <v>550</v>
      </c>
      <c r="G36" s="6" t="s">
        <v>150</v>
      </c>
      <c r="H36" s="7" t="s">
        <v>551</v>
      </c>
      <c r="I36" s="6" t="s">
        <v>552</v>
      </c>
      <c r="J36" s="6" t="s">
        <v>553</v>
      </c>
      <c r="K36" s="6" t="s">
        <v>554</v>
      </c>
      <c r="L36" s="7" t="s">
        <v>555</v>
      </c>
      <c r="M36" s="5">
        <v>45808.0</v>
      </c>
      <c r="N36" s="6" t="s">
        <v>71</v>
      </c>
      <c r="O36" s="6" t="s">
        <v>556</v>
      </c>
      <c r="P36" s="6" t="s">
        <v>71</v>
      </c>
      <c r="R36" s="6" t="s">
        <v>557</v>
      </c>
      <c r="S36" s="6" t="s">
        <v>558</v>
      </c>
      <c r="T36" s="6" t="s">
        <v>180</v>
      </c>
      <c r="U36" s="5">
        <v>41168.0</v>
      </c>
      <c r="V36" s="6" t="s">
        <v>54</v>
      </c>
      <c r="W36" s="6" t="s">
        <v>77</v>
      </c>
      <c r="X36" s="6" t="s">
        <v>102</v>
      </c>
      <c r="Y36" s="6" t="s">
        <v>78</v>
      </c>
      <c r="Z36" s="6" t="s">
        <v>79</v>
      </c>
      <c r="AA36" s="6">
        <v>6.0</v>
      </c>
      <c r="AB36" s="6">
        <v>14.0</v>
      </c>
      <c r="AD36" s="7" t="s">
        <v>555</v>
      </c>
      <c r="AE36" s="7" t="s">
        <v>555</v>
      </c>
      <c r="AF36" s="6" t="s">
        <v>559</v>
      </c>
      <c r="AG36" s="14" t="s">
        <v>560</v>
      </c>
      <c r="AH36" s="8" t="str">
        <f t="shared" si="6"/>
        <v>https://drive.google.com/open?id=19-ijh8at5SYxPtbYP37RGJG3cR7Nz3-8</v>
      </c>
      <c r="AJ36" s="6" t="s">
        <v>563</v>
      </c>
      <c r="AK36" s="6" t="s">
        <v>483</v>
      </c>
      <c r="AL36" s="16"/>
    </row>
    <row r="37" ht="22.5" customHeight="1">
      <c r="A37" s="4">
        <v>45837.731442766206</v>
      </c>
      <c r="B37" s="5">
        <v>44531.0</v>
      </c>
      <c r="C37" s="6" t="s">
        <v>564</v>
      </c>
      <c r="D37" s="6" t="s">
        <v>565</v>
      </c>
      <c r="E37" s="6" t="s">
        <v>549</v>
      </c>
      <c r="F37" s="6" t="s">
        <v>550</v>
      </c>
      <c r="G37" s="6" t="s">
        <v>150</v>
      </c>
      <c r="H37" s="7" t="s">
        <v>551</v>
      </c>
      <c r="I37" s="6" t="s">
        <v>552</v>
      </c>
      <c r="J37" s="6" t="s">
        <v>553</v>
      </c>
      <c r="K37" s="6" t="s">
        <v>554</v>
      </c>
      <c r="L37" s="7" t="s">
        <v>555</v>
      </c>
      <c r="M37" s="5">
        <v>45808.0</v>
      </c>
      <c r="N37" s="6" t="s">
        <v>504</v>
      </c>
      <c r="O37" s="6" t="s">
        <v>566</v>
      </c>
      <c r="P37" s="6" t="s">
        <v>504</v>
      </c>
      <c r="R37" s="6" t="s">
        <v>557</v>
      </c>
      <c r="S37" s="6" t="s">
        <v>558</v>
      </c>
      <c r="T37" s="6" t="s">
        <v>180</v>
      </c>
      <c r="U37" s="5">
        <v>43263.0</v>
      </c>
      <c r="V37" s="6" t="s">
        <v>54</v>
      </c>
      <c r="W37" s="6" t="s">
        <v>55</v>
      </c>
      <c r="X37" s="6" t="s">
        <v>102</v>
      </c>
      <c r="Z37" s="6" t="s">
        <v>567</v>
      </c>
      <c r="AA37" s="6" t="s">
        <v>104</v>
      </c>
      <c r="AB37" s="6">
        <v>14.0</v>
      </c>
      <c r="AD37" s="7" t="s">
        <v>568</v>
      </c>
      <c r="AE37" s="7" t="s">
        <v>555</v>
      </c>
      <c r="AF37" s="6" t="s">
        <v>569</v>
      </c>
      <c r="AG37" s="17" t="s">
        <v>560</v>
      </c>
      <c r="AH37" s="8" t="str">
        <f>HYPERLINK("https://drive.google.com/open?id=1uLFvGEiFJiM2Iv_-IcSK2iv07zyhvbVs", "https://drive.google.com/open?id=1uLFvGEiFJiM2Iv_-IcSK2iv07zyhvbVs")</f>
        <v>https://drive.google.com/open?id=1uLFvGEiFJiM2Iv_-IcSK2iv07zyhvbVs</v>
      </c>
      <c r="AJ37" s="6" t="s">
        <v>570</v>
      </c>
      <c r="AK37" s="6" t="s">
        <v>483</v>
      </c>
      <c r="AL37" s="16"/>
    </row>
    <row r="38" ht="22.5" customHeight="1">
      <c r="A38" s="4">
        <v>45837.748120081014</v>
      </c>
      <c r="B38" s="5">
        <v>44900.0</v>
      </c>
      <c r="C38" s="6" t="s">
        <v>571</v>
      </c>
      <c r="D38" s="6" t="s">
        <v>572</v>
      </c>
      <c r="E38" s="6" t="s">
        <v>573</v>
      </c>
      <c r="F38" s="6" t="s">
        <v>574</v>
      </c>
      <c r="G38" s="6" t="s">
        <v>66</v>
      </c>
      <c r="H38" s="7" t="s">
        <v>575</v>
      </c>
      <c r="I38" s="6" t="s">
        <v>576</v>
      </c>
      <c r="J38" s="6" t="s">
        <v>577</v>
      </c>
      <c r="K38" s="6" t="s">
        <v>46</v>
      </c>
      <c r="L38" s="7" t="s">
        <v>578</v>
      </c>
      <c r="M38" s="5">
        <v>45808.0</v>
      </c>
      <c r="N38" s="6" t="s">
        <v>48</v>
      </c>
      <c r="O38" s="6" t="s">
        <v>579</v>
      </c>
      <c r="P38" s="6" t="s">
        <v>48</v>
      </c>
      <c r="Q38" s="6" t="s">
        <v>580</v>
      </c>
      <c r="R38" s="6" t="s">
        <v>581</v>
      </c>
      <c r="S38" s="6" t="s">
        <v>582</v>
      </c>
      <c r="T38" s="6" t="s">
        <v>217</v>
      </c>
      <c r="U38" s="5">
        <v>41036.0</v>
      </c>
      <c r="V38" s="6" t="s">
        <v>54</v>
      </c>
      <c r="W38" s="6" t="s">
        <v>77</v>
      </c>
      <c r="X38" s="6" t="s">
        <v>102</v>
      </c>
      <c r="Y38" s="6" t="s">
        <v>160</v>
      </c>
      <c r="Z38" s="6" t="s">
        <v>583</v>
      </c>
      <c r="AA38" s="6" t="s">
        <v>324</v>
      </c>
      <c r="AB38" s="6">
        <v>3.0</v>
      </c>
      <c r="AD38" s="7" t="s">
        <v>575</v>
      </c>
      <c r="AE38" s="7" t="s">
        <v>575</v>
      </c>
      <c r="AF38" s="6" t="s">
        <v>584</v>
      </c>
      <c r="AH38" s="10" t="str">
        <f>HYPERLINK("https://drive.google.com/open?id=1H96rSFBzQCPgKScknIZwWy2z6cwYTleY", "https://drive.google.com/open?id=1H96rSFBzQCPgKScknIZwWy2z6cwYTleY")</f>
        <v>https://drive.google.com/open?id=1H96rSFBzQCPgKScknIZwWy2z6cwYTleY</v>
      </c>
      <c r="AJ38" s="6" t="s">
        <v>585</v>
      </c>
      <c r="AK38" s="6" t="s">
        <v>562</v>
      </c>
      <c r="AL38" s="13"/>
    </row>
    <row r="39" ht="22.5" customHeight="1">
      <c r="A39" s="4">
        <v>45837.75753690972</v>
      </c>
      <c r="B39" s="5">
        <v>44562.0</v>
      </c>
      <c r="C39" s="6" t="s">
        <v>586</v>
      </c>
      <c r="D39" s="6" t="s">
        <v>587</v>
      </c>
      <c r="E39" s="6" t="s">
        <v>588</v>
      </c>
      <c r="F39" s="6" t="s">
        <v>589</v>
      </c>
      <c r="G39" s="6" t="s">
        <v>590</v>
      </c>
      <c r="H39" s="7" t="s">
        <v>591</v>
      </c>
      <c r="I39" s="6" t="s">
        <v>592</v>
      </c>
      <c r="J39" s="6" t="s">
        <v>593</v>
      </c>
      <c r="K39" s="6" t="s">
        <v>46</v>
      </c>
      <c r="L39" s="7" t="s">
        <v>594</v>
      </c>
      <c r="M39" s="5">
        <v>45808.0</v>
      </c>
      <c r="N39" s="6" t="s">
        <v>48</v>
      </c>
      <c r="O39" s="6" t="s">
        <v>595</v>
      </c>
      <c r="P39" s="6" t="s">
        <v>48</v>
      </c>
      <c r="Q39" s="6" t="s">
        <v>596</v>
      </c>
      <c r="R39" s="6" t="s">
        <v>597</v>
      </c>
      <c r="S39" s="6" t="s">
        <v>598</v>
      </c>
      <c r="T39" s="6" t="s">
        <v>599</v>
      </c>
      <c r="U39" s="5">
        <v>42943.0</v>
      </c>
      <c r="V39" s="6" t="s">
        <v>54</v>
      </c>
      <c r="W39" s="6" t="s">
        <v>77</v>
      </c>
      <c r="X39" s="6" t="s">
        <v>102</v>
      </c>
      <c r="Y39" s="6" t="s">
        <v>78</v>
      </c>
      <c r="Z39" s="6" t="s">
        <v>600</v>
      </c>
      <c r="AB39" s="6">
        <v>1140.0</v>
      </c>
      <c r="AC39" s="6" t="s">
        <v>601</v>
      </c>
      <c r="AD39" s="7" t="s">
        <v>602</v>
      </c>
      <c r="AE39" s="7" t="s">
        <v>603</v>
      </c>
      <c r="AH39" s="11" t="str">
        <f>HYPERLINK("https://drive.google.com/open?id=1NYwedFZaxR3eaUhJVDPgbHBGQZnlNOml", "https://drive.google.com/open?id=1NYwedFZaxR3eaUhJVDPgbHBGQZnlNOml")</f>
        <v>https://drive.google.com/open?id=1NYwedFZaxR3eaUhJVDPgbHBGQZnlNOml</v>
      </c>
      <c r="AJ39" s="6" t="s">
        <v>604</v>
      </c>
      <c r="AK39" s="6" t="s">
        <v>605</v>
      </c>
      <c r="AL39" s="13"/>
    </row>
    <row r="40" ht="22.5" customHeight="1">
      <c r="A40" s="4">
        <v>45837.76734443287</v>
      </c>
      <c r="B40" s="5">
        <v>45834.0</v>
      </c>
      <c r="C40" s="6" t="s">
        <v>606</v>
      </c>
      <c r="D40" s="6" t="s">
        <v>607</v>
      </c>
      <c r="E40" s="6" t="s">
        <v>608</v>
      </c>
      <c r="F40" s="6" t="s">
        <v>609</v>
      </c>
      <c r="G40" s="6" t="s">
        <v>66</v>
      </c>
      <c r="H40" s="7" t="s">
        <v>610</v>
      </c>
      <c r="I40" s="6" t="s">
        <v>611</v>
      </c>
      <c r="J40" s="6" t="s">
        <v>612</v>
      </c>
      <c r="K40" s="6" t="s">
        <v>46</v>
      </c>
      <c r="L40" s="7" t="s">
        <v>613</v>
      </c>
      <c r="M40" s="5">
        <v>45808.0</v>
      </c>
      <c r="N40" s="6" t="s">
        <v>48</v>
      </c>
      <c r="O40" s="6" t="s">
        <v>614</v>
      </c>
      <c r="P40" s="6" t="s">
        <v>48</v>
      </c>
      <c r="Q40" s="6" t="s">
        <v>615</v>
      </c>
      <c r="R40" s="6" t="s">
        <v>616</v>
      </c>
      <c r="S40" s="6" t="s">
        <v>617</v>
      </c>
      <c r="T40" s="6" t="s">
        <v>438</v>
      </c>
      <c r="U40" s="5">
        <v>39680.0</v>
      </c>
      <c r="V40" s="6" t="s">
        <v>54</v>
      </c>
      <c r="W40" s="6" t="s">
        <v>77</v>
      </c>
      <c r="X40" s="6" t="s">
        <v>102</v>
      </c>
      <c r="Y40" s="6" t="s">
        <v>123</v>
      </c>
      <c r="Z40" s="6" t="s">
        <v>618</v>
      </c>
      <c r="AA40" s="6" t="s">
        <v>619</v>
      </c>
      <c r="AB40" s="6">
        <v>75.0</v>
      </c>
      <c r="AD40" s="7" t="s">
        <v>620</v>
      </c>
      <c r="AE40" s="7" t="s">
        <v>621</v>
      </c>
      <c r="AF40" s="6" t="s">
        <v>622</v>
      </c>
      <c r="AG40" s="6" t="s">
        <v>623</v>
      </c>
      <c r="AH40" s="10" t="str">
        <f>HYPERLINK("https://drive.google.com/open?id=1wwOatH6E0sSJW_yUPcQVzTUMgEqfyqRw", "https://drive.google.com/open?id=1wwOatH6E0sSJW_yUPcQVzTUMgEqfyqRw")</f>
        <v>https://drive.google.com/open?id=1wwOatH6E0sSJW_yUPcQVzTUMgEqfyqRw</v>
      </c>
      <c r="AJ40" s="6" t="s">
        <v>585</v>
      </c>
      <c r="AK40" s="6" t="s">
        <v>61</v>
      </c>
      <c r="AL40" s="13"/>
    </row>
    <row r="41" ht="22.5" customHeight="1">
      <c r="A41" s="4">
        <v>45837.76885881944</v>
      </c>
      <c r="B41" s="5">
        <v>45834.0</v>
      </c>
      <c r="C41" s="6" t="s">
        <v>624</v>
      </c>
      <c r="D41" s="6" t="s">
        <v>625</v>
      </c>
      <c r="E41" s="6" t="s">
        <v>626</v>
      </c>
      <c r="F41" s="6" t="s">
        <v>627</v>
      </c>
      <c r="G41" s="6" t="s">
        <v>628</v>
      </c>
      <c r="H41" s="7" t="s">
        <v>629</v>
      </c>
      <c r="I41" s="6" t="s">
        <v>630</v>
      </c>
      <c r="J41" s="6" t="s">
        <v>631</v>
      </c>
      <c r="K41" s="6" t="s">
        <v>628</v>
      </c>
      <c r="L41" s="7" t="s">
        <v>632</v>
      </c>
      <c r="M41" s="5">
        <v>45808.0</v>
      </c>
      <c r="N41" s="6" t="s">
        <v>48</v>
      </c>
      <c r="O41" s="6" t="s">
        <v>633</v>
      </c>
      <c r="P41" s="6" t="s">
        <v>48</v>
      </c>
      <c r="Q41" s="6" t="s">
        <v>634</v>
      </c>
      <c r="R41" s="6" t="s">
        <v>635</v>
      </c>
      <c r="S41" s="6" t="s">
        <v>636</v>
      </c>
      <c r="T41" s="6" t="s">
        <v>637</v>
      </c>
      <c r="U41" s="5">
        <v>42519.0</v>
      </c>
      <c r="V41" s="6" t="s">
        <v>54</v>
      </c>
      <c r="W41" s="6" t="s">
        <v>77</v>
      </c>
      <c r="X41" s="6" t="s">
        <v>102</v>
      </c>
      <c r="Y41" s="6" t="s">
        <v>78</v>
      </c>
      <c r="Z41" s="6" t="s">
        <v>638</v>
      </c>
      <c r="AA41" s="6" t="s">
        <v>639</v>
      </c>
      <c r="AB41" s="6">
        <v>2023264.0</v>
      </c>
      <c r="AC41" s="6" t="s">
        <v>640</v>
      </c>
      <c r="AD41" s="7" t="s">
        <v>629</v>
      </c>
      <c r="AE41" s="7" t="s">
        <v>629</v>
      </c>
      <c r="AF41" s="6" t="s">
        <v>641</v>
      </c>
      <c r="AH41" s="11" t="str">
        <f>HYPERLINK("https://drive.google.com/open?id=1SDAGhXO46z53VLfnBzh3CbW8S5IGmEqH", "https://drive.google.com/open?id=1SDAGhXO46z53VLfnBzh3CbW8S5IGmEqH")</f>
        <v>https://drive.google.com/open?id=1SDAGhXO46z53VLfnBzh3CbW8S5IGmEqH</v>
      </c>
      <c r="AK41" s="6" t="s">
        <v>203</v>
      </c>
      <c r="AL41" s="13"/>
    </row>
    <row r="42" ht="22.5" customHeight="1">
      <c r="A42" s="4">
        <v>45837.77242418981</v>
      </c>
      <c r="B42" s="5">
        <v>45834.0</v>
      </c>
      <c r="C42" s="6" t="s">
        <v>642</v>
      </c>
      <c r="D42" s="6" t="s">
        <v>643</v>
      </c>
      <c r="E42" s="6" t="s">
        <v>644</v>
      </c>
      <c r="F42" s="6" t="s">
        <v>645</v>
      </c>
      <c r="G42" s="6" t="s">
        <v>150</v>
      </c>
      <c r="H42" s="7" t="s">
        <v>646</v>
      </c>
      <c r="I42" s="6" t="s">
        <v>647</v>
      </c>
      <c r="J42" s="6" t="s">
        <v>648</v>
      </c>
      <c r="K42" s="6" t="s">
        <v>336</v>
      </c>
      <c r="L42" s="7" t="s">
        <v>649</v>
      </c>
      <c r="M42" s="5">
        <v>45808.0</v>
      </c>
      <c r="N42" s="6" t="s">
        <v>71</v>
      </c>
      <c r="O42" s="6" t="s">
        <v>650</v>
      </c>
      <c r="P42" s="6" t="s">
        <v>71</v>
      </c>
      <c r="R42" s="6" t="s">
        <v>651</v>
      </c>
      <c r="S42" s="6" t="s">
        <v>652</v>
      </c>
      <c r="T42" s="6" t="s">
        <v>76</v>
      </c>
      <c r="U42" s="5">
        <v>42621.0</v>
      </c>
      <c r="V42" s="6" t="s">
        <v>54</v>
      </c>
      <c r="W42" s="6" t="s">
        <v>77</v>
      </c>
      <c r="X42" s="6" t="s">
        <v>102</v>
      </c>
      <c r="Y42" s="6" t="s">
        <v>653</v>
      </c>
      <c r="Z42" s="6" t="s">
        <v>654</v>
      </c>
      <c r="AA42" s="6" t="s">
        <v>655</v>
      </c>
      <c r="AB42" s="6">
        <v>19.0</v>
      </c>
      <c r="AC42" s="6" t="s">
        <v>656</v>
      </c>
      <c r="AD42" s="7" t="s">
        <v>649</v>
      </c>
      <c r="AE42" s="7" t="s">
        <v>649</v>
      </c>
      <c r="AF42" s="6" t="s">
        <v>657</v>
      </c>
      <c r="AG42" s="6" t="s">
        <v>658</v>
      </c>
      <c r="AH42" s="10" t="str">
        <f>HYPERLINK("https://drive.google.com/open?id=1OEBuY38wKwuUczJ7zeJYkRzjEULqJicz", "https://drive.google.com/open?id=1OEBuY38wKwuUczJ7zeJYkRzjEULqJicz")</f>
        <v>https://drive.google.com/open?id=1OEBuY38wKwuUczJ7zeJYkRzjEULqJicz</v>
      </c>
      <c r="AK42" s="6" t="s">
        <v>445</v>
      </c>
      <c r="AL42" s="13"/>
    </row>
    <row r="43" ht="22.5" customHeight="1">
      <c r="A43" s="4">
        <v>45837.78027258102</v>
      </c>
      <c r="B43" s="5">
        <v>45834.0</v>
      </c>
      <c r="C43" s="6" t="s">
        <v>659</v>
      </c>
      <c r="D43" s="6" t="s">
        <v>660</v>
      </c>
      <c r="E43" s="6" t="s">
        <v>661</v>
      </c>
      <c r="F43" s="6" t="s">
        <v>662</v>
      </c>
      <c r="G43" s="6" t="s">
        <v>332</v>
      </c>
      <c r="H43" s="7" t="s">
        <v>663</v>
      </c>
      <c r="I43" s="6" t="s">
        <v>664</v>
      </c>
      <c r="J43" s="6" t="s">
        <v>665</v>
      </c>
      <c r="K43" s="6" t="s">
        <v>95</v>
      </c>
      <c r="L43" s="7" t="s">
        <v>666</v>
      </c>
      <c r="M43" s="5">
        <v>45808.0</v>
      </c>
      <c r="N43" s="6" t="s">
        <v>48</v>
      </c>
      <c r="O43" s="6" t="s">
        <v>667</v>
      </c>
      <c r="P43" s="6" t="s">
        <v>48</v>
      </c>
      <c r="Q43" s="7" t="s">
        <v>389</v>
      </c>
      <c r="R43" s="6" t="s">
        <v>668</v>
      </c>
      <c r="S43" s="6" t="s">
        <v>669</v>
      </c>
      <c r="T43" s="6" t="s">
        <v>670</v>
      </c>
      <c r="U43" s="5">
        <v>43281.0</v>
      </c>
      <c r="V43" s="6" t="s">
        <v>54</v>
      </c>
      <c r="W43" s="6" t="s">
        <v>55</v>
      </c>
      <c r="X43" s="6" t="s">
        <v>102</v>
      </c>
      <c r="Z43" s="6" t="s">
        <v>671</v>
      </c>
      <c r="AA43" s="6" t="s">
        <v>672</v>
      </c>
      <c r="AB43" s="6">
        <v>8.0</v>
      </c>
      <c r="AD43" s="7" t="s">
        <v>666</v>
      </c>
      <c r="AE43" s="7" t="s">
        <v>666</v>
      </c>
      <c r="AF43" s="6" t="s">
        <v>673</v>
      </c>
      <c r="AG43" s="6" t="s">
        <v>674</v>
      </c>
      <c r="AH43" s="11" t="str">
        <f>HYPERLINK("https://drive.google.com/open?id=1O6FTJgn1G4eQwTKX0gQyM_HUC2uX9h2t", "https://drive.google.com/open?id=1O6FTJgn1G4eQwTKX0gQyM_HUC2uX9h2t")</f>
        <v>https://drive.google.com/open?id=1O6FTJgn1G4eQwTKX0gQyM_HUC2uX9h2t</v>
      </c>
      <c r="AK43" s="6" t="s">
        <v>166</v>
      </c>
      <c r="AL43" s="13"/>
    </row>
    <row r="44" ht="22.5" customHeight="1">
      <c r="A44" s="4">
        <v>45837.79345902777</v>
      </c>
      <c r="B44" s="5">
        <v>45835.0</v>
      </c>
      <c r="C44" s="6" t="s">
        <v>675</v>
      </c>
      <c r="D44" s="6" t="s">
        <v>676</v>
      </c>
      <c r="E44" s="6" t="s">
        <v>677</v>
      </c>
      <c r="F44" s="6" t="s">
        <v>678</v>
      </c>
      <c r="G44" s="6" t="s">
        <v>679</v>
      </c>
      <c r="H44" s="7" t="s">
        <v>680</v>
      </c>
      <c r="I44" s="6" t="s">
        <v>681</v>
      </c>
      <c r="J44" s="6" t="s">
        <v>682</v>
      </c>
      <c r="K44" s="6" t="s">
        <v>46</v>
      </c>
      <c r="L44" s="7" t="s">
        <v>683</v>
      </c>
      <c r="M44" s="5">
        <v>45808.0</v>
      </c>
      <c r="N44" s="6" t="s">
        <v>48</v>
      </c>
      <c r="O44" s="6" t="s">
        <v>684</v>
      </c>
      <c r="P44" s="6" t="s">
        <v>48</v>
      </c>
      <c r="Q44" s="6" t="s">
        <v>685</v>
      </c>
      <c r="R44" s="6" t="s">
        <v>686</v>
      </c>
      <c r="S44" s="6" t="s">
        <v>687</v>
      </c>
      <c r="T44" s="6" t="s">
        <v>180</v>
      </c>
      <c r="U44" s="5">
        <v>38514.0</v>
      </c>
      <c r="V44" s="6" t="s">
        <v>54</v>
      </c>
      <c r="W44" s="6" t="s">
        <v>77</v>
      </c>
      <c r="X44" s="6" t="s">
        <v>102</v>
      </c>
      <c r="Y44" s="6" t="s">
        <v>78</v>
      </c>
      <c r="Z44" s="6" t="s">
        <v>688</v>
      </c>
      <c r="AA44" s="6" t="s">
        <v>689</v>
      </c>
      <c r="AB44" s="6">
        <v>5.0</v>
      </c>
      <c r="AC44" s="6" t="s">
        <v>690</v>
      </c>
      <c r="AD44" s="7" t="s">
        <v>691</v>
      </c>
      <c r="AE44" s="7" t="s">
        <v>691</v>
      </c>
      <c r="AF44" s="6" t="s">
        <v>692</v>
      </c>
      <c r="AG44" s="6" t="s">
        <v>693</v>
      </c>
      <c r="AH44" s="10" t="str">
        <f>HYPERLINK("https://drive.google.com/file/d/10lN_XJjcW9NoVhoCNGLH2Crb5QvnJdal/view?usp=drivesdk", "https://drive.google.com/file/d/10lN_XJjcW9NoVhoCNGLH2Crb5QvnJdal/view?usp=drivesdk")</f>
        <v>https://drive.google.com/file/d/10lN_XJjcW9NoVhoCNGLH2Crb5QvnJdal/view?usp=drivesdk</v>
      </c>
      <c r="AJ44" s="6" t="s">
        <v>694</v>
      </c>
      <c r="AK44" s="6" t="s">
        <v>605</v>
      </c>
      <c r="AL44" s="13"/>
    </row>
    <row r="45" ht="22.5" customHeight="1">
      <c r="A45" s="4">
        <v>45837.80255607639</v>
      </c>
      <c r="B45" s="5">
        <v>45835.0</v>
      </c>
      <c r="C45" s="6" t="s">
        <v>695</v>
      </c>
      <c r="D45" s="6" t="s">
        <v>696</v>
      </c>
      <c r="E45" s="6" t="s">
        <v>697</v>
      </c>
      <c r="F45" s="6" t="s">
        <v>698</v>
      </c>
      <c r="G45" s="6" t="s">
        <v>699</v>
      </c>
      <c r="H45" s="7" t="s">
        <v>700</v>
      </c>
      <c r="I45" s="6" t="s">
        <v>701</v>
      </c>
      <c r="J45" s="6" t="s">
        <v>702</v>
      </c>
      <c r="K45" s="6" t="s">
        <v>46</v>
      </c>
      <c r="L45" s="7" t="s">
        <v>700</v>
      </c>
      <c r="M45" s="5">
        <v>45808.0</v>
      </c>
      <c r="N45" s="6" t="s">
        <v>48</v>
      </c>
      <c r="O45" s="6" t="s">
        <v>703</v>
      </c>
      <c r="P45" s="6" t="s">
        <v>48</v>
      </c>
      <c r="Q45" s="6">
        <v>1.974738864E9</v>
      </c>
      <c r="R45" s="6" t="s">
        <v>704</v>
      </c>
      <c r="S45" s="6" t="s">
        <v>705</v>
      </c>
      <c r="T45" s="6" t="s">
        <v>76</v>
      </c>
      <c r="U45" s="5">
        <v>38061.0</v>
      </c>
      <c r="V45" s="6" t="s">
        <v>54</v>
      </c>
      <c r="W45" s="6" t="s">
        <v>77</v>
      </c>
      <c r="X45" s="6" t="s">
        <v>102</v>
      </c>
      <c r="Y45" s="6" t="s">
        <v>160</v>
      </c>
      <c r="Z45" s="6" t="s">
        <v>706</v>
      </c>
      <c r="AA45" s="6" t="s">
        <v>707</v>
      </c>
      <c r="AD45" s="7" t="s">
        <v>700</v>
      </c>
      <c r="AE45" s="7" t="s">
        <v>708</v>
      </c>
      <c r="AH45" s="15" t="s">
        <v>222</v>
      </c>
      <c r="AJ45" s="6" t="s">
        <v>709</v>
      </c>
      <c r="AK45" s="6" t="s">
        <v>605</v>
      </c>
      <c r="AL45" s="13"/>
    </row>
    <row r="46" ht="22.5" customHeight="1">
      <c r="A46" s="4">
        <v>45837.80418006945</v>
      </c>
      <c r="B46" s="5">
        <v>45835.0</v>
      </c>
      <c r="C46" s="6" t="s">
        <v>710</v>
      </c>
      <c r="D46" s="6" t="s">
        <v>711</v>
      </c>
      <c r="E46" s="6" t="s">
        <v>712</v>
      </c>
      <c r="F46" s="6" t="s">
        <v>713</v>
      </c>
      <c r="G46" s="6" t="s">
        <v>714</v>
      </c>
      <c r="H46" s="7" t="s">
        <v>715</v>
      </c>
      <c r="I46" s="6" t="s">
        <v>716</v>
      </c>
      <c r="J46" s="6" t="s">
        <v>717</v>
      </c>
      <c r="K46" s="6" t="s">
        <v>336</v>
      </c>
      <c r="L46" s="7" t="s">
        <v>718</v>
      </c>
      <c r="M46" s="5">
        <v>45808.0</v>
      </c>
      <c r="N46" s="6" t="s">
        <v>48</v>
      </c>
      <c r="O46" s="6" t="s">
        <v>719</v>
      </c>
      <c r="P46" s="6" t="s">
        <v>48</v>
      </c>
      <c r="Q46" s="6" t="s">
        <v>720</v>
      </c>
      <c r="R46" s="6" t="s">
        <v>721</v>
      </c>
      <c r="S46" s="6" t="s">
        <v>722</v>
      </c>
      <c r="T46" s="6" t="s">
        <v>101</v>
      </c>
      <c r="U46" s="5">
        <v>42551.0</v>
      </c>
      <c r="V46" s="6" t="s">
        <v>54</v>
      </c>
      <c r="W46" s="6" t="s">
        <v>77</v>
      </c>
      <c r="X46" s="6" t="s">
        <v>102</v>
      </c>
      <c r="Z46" s="6" t="s">
        <v>723</v>
      </c>
      <c r="AA46" s="6" t="s">
        <v>672</v>
      </c>
      <c r="AB46" s="6">
        <v>20.0</v>
      </c>
      <c r="AD46" s="7" t="s">
        <v>718</v>
      </c>
      <c r="AE46" s="7" t="s">
        <v>715</v>
      </c>
      <c r="AF46" s="6" t="s">
        <v>724</v>
      </c>
      <c r="AH46" s="10" t="str">
        <f>HYPERLINK("https://drive.google.com/file/d/18DhjKOzBIunJxE5VqKTYeoFRIMYREu0a/view?usp=drivesdk", "https://drive.google.com/file/d/18DhjKOzBIunJxE5VqKTYeoFRIMYREu0a/view?usp=drivesdk")</f>
        <v>https://drive.google.com/file/d/18DhjKOzBIunJxE5VqKTYeoFRIMYREu0a/view?usp=drivesdk</v>
      </c>
      <c r="AK46" s="6" t="s">
        <v>203</v>
      </c>
      <c r="AL46" s="13"/>
    </row>
    <row r="47" ht="22.5" customHeight="1">
      <c r="A47" s="4">
        <v>45837.823239467594</v>
      </c>
      <c r="B47" s="5">
        <v>45804.0</v>
      </c>
      <c r="C47" s="6" t="s">
        <v>725</v>
      </c>
      <c r="D47" s="6" t="s">
        <v>726</v>
      </c>
      <c r="E47" s="6" t="s">
        <v>727</v>
      </c>
      <c r="F47" s="6" t="s">
        <v>728</v>
      </c>
      <c r="G47" s="6" t="s">
        <v>42</v>
      </c>
      <c r="H47" s="7" t="s">
        <v>729</v>
      </c>
      <c r="I47" s="6" t="s">
        <v>730</v>
      </c>
      <c r="J47" s="6" t="s">
        <v>731</v>
      </c>
      <c r="K47" s="6" t="s">
        <v>732</v>
      </c>
      <c r="L47" s="7" t="s">
        <v>733</v>
      </c>
      <c r="M47" s="5">
        <v>45808.0</v>
      </c>
      <c r="N47" s="6" t="s">
        <v>48</v>
      </c>
      <c r="O47" s="6" t="s">
        <v>734</v>
      </c>
      <c r="P47" s="6" t="s">
        <v>48</v>
      </c>
      <c r="Q47" s="6" t="s">
        <v>735</v>
      </c>
      <c r="R47" s="6" t="s">
        <v>736</v>
      </c>
      <c r="S47" s="6" t="s">
        <v>737</v>
      </c>
      <c r="T47" s="6" t="s">
        <v>234</v>
      </c>
      <c r="U47" s="5">
        <v>43325.0</v>
      </c>
      <c r="V47" s="6" t="s">
        <v>54</v>
      </c>
      <c r="W47" s="6" t="s">
        <v>55</v>
      </c>
      <c r="X47" s="6" t="s">
        <v>102</v>
      </c>
      <c r="Z47" s="6" t="s">
        <v>738</v>
      </c>
      <c r="AA47" s="6" t="s">
        <v>739</v>
      </c>
      <c r="AB47" s="6">
        <v>7.0</v>
      </c>
      <c r="AC47" s="6" t="s">
        <v>740</v>
      </c>
      <c r="AD47" s="7" t="s">
        <v>733</v>
      </c>
      <c r="AE47" s="7" t="s">
        <v>729</v>
      </c>
      <c r="AF47" s="6" t="s">
        <v>741</v>
      </c>
      <c r="AH47" s="11" t="str">
        <f>HYPERLINK("https://drive.google.com/file/d/11i8xVyjqlGDJ2cCxyiDfHFkHdiXkOzOj/view?usp=drivesdk", "https://drive.google.com/file/d/11i8xVyjqlGDJ2cCxyiDfHFkHdiXkOzOj/view?usp=drivesdk")</f>
        <v>https://drive.google.com/file/d/11i8xVyjqlGDJ2cCxyiDfHFkHdiXkOzOj/view?usp=drivesdk</v>
      </c>
      <c r="AK47" s="6" t="s">
        <v>605</v>
      </c>
      <c r="AL47" s="13"/>
    </row>
    <row r="48" ht="22.5" customHeight="1">
      <c r="A48" s="4">
        <v>45837.830649745374</v>
      </c>
      <c r="B48" s="5">
        <v>45835.0</v>
      </c>
      <c r="C48" s="6" t="s">
        <v>742</v>
      </c>
      <c r="D48" s="6" t="s">
        <v>743</v>
      </c>
      <c r="E48" s="6" t="s">
        <v>744</v>
      </c>
      <c r="F48" s="6" t="s">
        <v>745</v>
      </c>
      <c r="G48" s="6" t="s">
        <v>66</v>
      </c>
      <c r="H48" s="7" t="s">
        <v>746</v>
      </c>
      <c r="I48" s="6" t="s">
        <v>747</v>
      </c>
      <c r="J48" s="6" t="s">
        <v>748</v>
      </c>
      <c r="K48" s="6" t="s">
        <v>749</v>
      </c>
      <c r="L48" s="7" t="s">
        <v>750</v>
      </c>
      <c r="M48" s="5">
        <v>45808.0</v>
      </c>
      <c r="N48" s="6" t="s">
        <v>48</v>
      </c>
      <c r="O48" s="6" t="s">
        <v>751</v>
      </c>
      <c r="P48" s="6" t="s">
        <v>48</v>
      </c>
      <c r="Q48" s="6" t="s">
        <v>752</v>
      </c>
      <c r="R48" s="6" t="s">
        <v>753</v>
      </c>
      <c r="S48" s="6" t="s">
        <v>754</v>
      </c>
      <c r="T48" s="6" t="s">
        <v>53</v>
      </c>
      <c r="U48" s="5">
        <v>43648.0</v>
      </c>
      <c r="V48" s="6" t="s">
        <v>54</v>
      </c>
      <c r="W48" s="6" t="s">
        <v>55</v>
      </c>
      <c r="X48" s="6" t="s">
        <v>102</v>
      </c>
      <c r="Z48" s="6" t="s">
        <v>755</v>
      </c>
      <c r="AA48" s="6" t="s">
        <v>756</v>
      </c>
      <c r="AD48" s="7" t="s">
        <v>750</v>
      </c>
      <c r="AE48" s="7" t="s">
        <v>746</v>
      </c>
      <c r="AH48" s="10" t="str">
        <f>HYPERLINK("https://drive.google.com/file/d/1_pR0kn6gH-gs-tWYzLN_wy5_wcImO6_j/view?usp=drivesdk", "https://drive.google.com/file/d/1_pR0kn6gH-gs-tWYzLN_wy5_wcImO6_j/view?usp=drivesdk")</f>
        <v>https://drive.google.com/file/d/1_pR0kn6gH-gs-tWYzLN_wy5_wcImO6_j/view?usp=drivesdk</v>
      </c>
      <c r="AK48" s="6" t="s">
        <v>757</v>
      </c>
      <c r="AL48" s="13"/>
    </row>
    <row r="49" ht="22.5" customHeight="1">
      <c r="A49" s="4">
        <v>45837.83352534722</v>
      </c>
      <c r="B49" s="5">
        <v>45804.0</v>
      </c>
      <c r="C49" s="6" t="s">
        <v>725</v>
      </c>
      <c r="D49" s="6" t="s">
        <v>726</v>
      </c>
      <c r="E49" s="6" t="s">
        <v>727</v>
      </c>
      <c r="F49" s="6" t="s">
        <v>758</v>
      </c>
      <c r="G49" s="6" t="s">
        <v>42</v>
      </c>
      <c r="H49" s="7" t="s">
        <v>729</v>
      </c>
      <c r="I49" s="6" t="s">
        <v>730</v>
      </c>
      <c r="J49" s="6" t="s">
        <v>731</v>
      </c>
      <c r="K49" s="6" t="s">
        <v>46</v>
      </c>
      <c r="L49" s="7" t="s">
        <v>733</v>
      </c>
      <c r="M49" s="5">
        <v>45808.0</v>
      </c>
      <c r="N49" s="6" t="s">
        <v>504</v>
      </c>
      <c r="O49" s="6" t="s">
        <v>734</v>
      </c>
      <c r="P49" s="6" t="s">
        <v>504</v>
      </c>
      <c r="Q49" s="6" t="s">
        <v>735</v>
      </c>
      <c r="R49" s="6" t="s">
        <v>759</v>
      </c>
      <c r="S49" s="6" t="s">
        <v>760</v>
      </c>
      <c r="T49" s="6" t="s">
        <v>234</v>
      </c>
      <c r="U49" s="5">
        <v>43325.0</v>
      </c>
      <c r="V49" s="6" t="s">
        <v>54</v>
      </c>
      <c r="W49" s="6" t="s">
        <v>55</v>
      </c>
      <c r="X49" s="6" t="s">
        <v>102</v>
      </c>
      <c r="Z49" s="6" t="s">
        <v>738</v>
      </c>
      <c r="AA49" s="6" t="s">
        <v>739</v>
      </c>
      <c r="AB49" s="6">
        <v>7.0</v>
      </c>
      <c r="AC49" s="6" t="s">
        <v>740</v>
      </c>
      <c r="AD49" s="7" t="s">
        <v>733</v>
      </c>
      <c r="AE49" s="7" t="s">
        <v>729</v>
      </c>
      <c r="AH49" s="11" t="str">
        <f>HYPERLINK("https://drive.google.com/file/d/11i8xVyjqlGDJ2cCxyiDfHFkHdiXkOzOj/view?usp=drivesdk", "https://drive.google.com/file/d/11i8xVyjqlGDJ2cCxyiDfHFkHdiXkOzOj/view?usp=drivesdk")</f>
        <v>https://drive.google.com/file/d/11i8xVyjqlGDJ2cCxyiDfHFkHdiXkOzOj/view?usp=drivesdk</v>
      </c>
      <c r="AK49" s="6" t="s">
        <v>605</v>
      </c>
      <c r="AL49" s="13"/>
    </row>
    <row r="50" ht="22.5" customHeight="1">
      <c r="A50" s="4">
        <v>45837.84522472222</v>
      </c>
      <c r="B50" s="5">
        <v>45835.0</v>
      </c>
      <c r="C50" s="6" t="s">
        <v>761</v>
      </c>
      <c r="D50" s="6" t="s">
        <v>762</v>
      </c>
      <c r="E50" s="6" t="s">
        <v>763</v>
      </c>
      <c r="F50" s="6" t="s">
        <v>764</v>
      </c>
      <c r="G50" s="6" t="s">
        <v>66</v>
      </c>
      <c r="H50" s="7" t="s">
        <v>765</v>
      </c>
      <c r="I50" s="6" t="s">
        <v>766</v>
      </c>
      <c r="J50" s="6" t="s">
        <v>767</v>
      </c>
      <c r="K50" s="6" t="s">
        <v>749</v>
      </c>
      <c r="L50" s="7" t="s">
        <v>768</v>
      </c>
      <c r="M50" s="5">
        <v>45808.0</v>
      </c>
      <c r="N50" s="6" t="s">
        <v>48</v>
      </c>
      <c r="O50" s="6" t="s">
        <v>769</v>
      </c>
      <c r="P50" s="6" t="s">
        <v>48</v>
      </c>
      <c r="Q50" s="6" t="s">
        <v>770</v>
      </c>
      <c r="R50" s="6" t="s">
        <v>771</v>
      </c>
      <c r="S50" s="6" t="s">
        <v>772</v>
      </c>
      <c r="T50" s="6" t="s">
        <v>101</v>
      </c>
      <c r="U50" s="5">
        <v>43198.0</v>
      </c>
      <c r="V50" s="6" t="s">
        <v>54</v>
      </c>
      <c r="W50" s="6" t="s">
        <v>77</v>
      </c>
      <c r="X50" s="6" t="s">
        <v>102</v>
      </c>
      <c r="Y50" s="6">
        <v>1.0</v>
      </c>
      <c r="Z50" s="6" t="s">
        <v>773</v>
      </c>
      <c r="AA50" s="6" t="s">
        <v>104</v>
      </c>
      <c r="AB50" s="6">
        <v>25.0</v>
      </c>
      <c r="AD50" s="7" t="s">
        <v>765</v>
      </c>
      <c r="AE50" s="7" t="s">
        <v>765</v>
      </c>
      <c r="AH50" s="10" t="str">
        <f>HYPERLINK("https://drive.google.com/file/d/1KUc3Em0XKts_oZxzxWpO0vqQamjsmP8z/view?usp=drivesdk", "https://drive.google.com/file/d/1KUc3Em0XKts_oZxzxWpO0vqQamjsmP8z/view?usp=drivesdk")</f>
        <v>https://drive.google.com/file/d/1KUc3Em0XKts_oZxzxWpO0vqQamjsmP8z/view?usp=drivesdk</v>
      </c>
      <c r="AK50" s="6" t="s">
        <v>61</v>
      </c>
      <c r="AL50" s="13"/>
    </row>
    <row r="51" ht="22.5" customHeight="1">
      <c r="A51" s="4">
        <v>45837.85189568287</v>
      </c>
      <c r="B51" s="5">
        <v>45835.0</v>
      </c>
      <c r="C51" s="6" t="s">
        <v>774</v>
      </c>
      <c r="D51" s="6" t="s">
        <v>775</v>
      </c>
      <c r="E51" s="6" t="s">
        <v>776</v>
      </c>
      <c r="F51" s="6" t="s">
        <v>777</v>
      </c>
      <c r="G51" s="6" t="s">
        <v>778</v>
      </c>
      <c r="H51" s="7" t="s">
        <v>779</v>
      </c>
      <c r="I51" s="6" t="s">
        <v>780</v>
      </c>
      <c r="J51" s="6" t="s">
        <v>781</v>
      </c>
      <c r="K51" s="6" t="s">
        <v>336</v>
      </c>
      <c r="L51" s="7" t="s">
        <v>782</v>
      </c>
      <c r="M51" s="5">
        <v>45808.0</v>
      </c>
      <c r="N51" s="6" t="s">
        <v>504</v>
      </c>
      <c r="O51" s="6" t="s">
        <v>783</v>
      </c>
      <c r="P51" s="6" t="s">
        <v>504</v>
      </c>
      <c r="R51" s="6" t="s">
        <v>784</v>
      </c>
      <c r="S51" s="6" t="s">
        <v>785</v>
      </c>
      <c r="T51" s="6" t="s">
        <v>786</v>
      </c>
      <c r="U51" s="5">
        <v>42939.0</v>
      </c>
      <c r="V51" s="6" t="s">
        <v>54</v>
      </c>
      <c r="W51" s="6" t="s">
        <v>77</v>
      </c>
      <c r="X51" s="6" t="s">
        <v>102</v>
      </c>
      <c r="Y51" s="6" t="s">
        <v>78</v>
      </c>
      <c r="Z51" s="6" t="s">
        <v>787</v>
      </c>
      <c r="AA51" s="6" t="s">
        <v>672</v>
      </c>
      <c r="AB51" s="7" t="s">
        <v>788</v>
      </c>
      <c r="AE51" s="7" t="s">
        <v>782</v>
      </c>
      <c r="AF51" s="6" t="s">
        <v>789</v>
      </c>
      <c r="AH51" s="11" t="str">
        <f>HYPERLINK("https://drive.google.com/file/d/1aPGas_1swWa_mjsx3menrj4MLnJTAufX/view?usp=drivesdk", "https://drive.google.com/file/d/1aPGas_1swWa_mjsx3menrj4MLnJTAufX/view?usp=drivesdk")</f>
        <v>https://drive.google.com/file/d/1aPGas_1swWa_mjsx3menrj4MLnJTAufX/view?usp=drivesdk</v>
      </c>
      <c r="AK51" s="6" t="s">
        <v>203</v>
      </c>
      <c r="AL51" s="13"/>
    </row>
    <row r="52" ht="22.5" customHeight="1">
      <c r="A52" s="4">
        <v>45837.85287396991</v>
      </c>
      <c r="B52" s="5">
        <v>45834.0</v>
      </c>
      <c r="C52" s="6" t="s">
        <v>790</v>
      </c>
      <c r="D52" s="6" t="s">
        <v>791</v>
      </c>
      <c r="E52" s="6" t="s">
        <v>792</v>
      </c>
      <c r="F52" s="6" t="s">
        <v>793</v>
      </c>
      <c r="G52" s="6" t="s">
        <v>377</v>
      </c>
      <c r="H52" s="7" t="s">
        <v>794</v>
      </c>
      <c r="I52" s="6" t="s">
        <v>795</v>
      </c>
      <c r="J52" s="6" t="s">
        <v>796</v>
      </c>
      <c r="K52" s="6" t="s">
        <v>46</v>
      </c>
      <c r="L52" s="7" t="s">
        <v>797</v>
      </c>
      <c r="M52" s="5">
        <v>45808.0</v>
      </c>
      <c r="N52" s="6" t="s">
        <v>48</v>
      </c>
      <c r="O52" s="6" t="s">
        <v>798</v>
      </c>
      <c r="P52" s="6" t="s">
        <v>48</v>
      </c>
      <c r="Q52" s="6" t="s">
        <v>799</v>
      </c>
      <c r="R52" s="6" t="s">
        <v>800</v>
      </c>
      <c r="S52" s="6" t="s">
        <v>801</v>
      </c>
      <c r="T52" s="6" t="s">
        <v>802</v>
      </c>
      <c r="U52" s="5">
        <v>43091.0</v>
      </c>
      <c r="V52" s="6" t="s">
        <v>54</v>
      </c>
      <c r="W52" s="6" t="s">
        <v>55</v>
      </c>
      <c r="X52" s="6" t="s">
        <v>102</v>
      </c>
      <c r="Z52" s="6" t="s">
        <v>803</v>
      </c>
      <c r="AA52" s="6" t="s">
        <v>804</v>
      </c>
      <c r="AB52" s="6">
        <v>1.0</v>
      </c>
      <c r="AD52" s="7" t="s">
        <v>794</v>
      </c>
      <c r="AE52" s="6">
        <v>1.714732251E9</v>
      </c>
      <c r="AH52" s="10" t="str">
        <f>HYPERLINK("https://drive.google.com/file/d/1QJXWDii0DW9s-0zvzxe2DUog4IUi-c9w/view?usp=drivesdk", "https://drive.google.com/file/d/1QJXWDii0DW9s-0zvzxe2DUog4IUi-c9w/view?usp=drivesdk")</f>
        <v>https://drive.google.com/file/d/1QJXWDii0DW9s-0zvzxe2DUog4IUi-c9w/view?usp=drivesdk</v>
      </c>
      <c r="AK52" s="6" t="s">
        <v>605</v>
      </c>
      <c r="AL52" s="13"/>
    </row>
    <row r="53" ht="22.5" customHeight="1">
      <c r="A53" s="4">
        <v>45837.85893221065</v>
      </c>
      <c r="B53" s="5">
        <v>45835.0</v>
      </c>
      <c r="C53" s="6" t="s">
        <v>805</v>
      </c>
      <c r="D53" s="6" t="s">
        <v>806</v>
      </c>
      <c r="E53" s="6" t="s">
        <v>807</v>
      </c>
      <c r="F53" s="6" t="s">
        <v>808</v>
      </c>
      <c r="G53" s="6" t="s">
        <v>809</v>
      </c>
      <c r="H53" s="7" t="s">
        <v>810</v>
      </c>
      <c r="I53" s="6" t="s">
        <v>811</v>
      </c>
      <c r="J53" s="6" t="s">
        <v>812</v>
      </c>
      <c r="K53" s="6" t="s">
        <v>336</v>
      </c>
      <c r="L53" s="7" t="s">
        <v>813</v>
      </c>
      <c r="M53" s="5">
        <v>45808.0</v>
      </c>
      <c r="N53" s="6" t="s">
        <v>48</v>
      </c>
      <c r="O53" s="6" t="s">
        <v>814</v>
      </c>
      <c r="P53" s="6" t="s">
        <v>48</v>
      </c>
      <c r="Q53" s="6" t="s">
        <v>815</v>
      </c>
      <c r="R53" s="6" t="s">
        <v>816</v>
      </c>
      <c r="S53" s="6" t="s">
        <v>817</v>
      </c>
      <c r="T53" s="6" t="s">
        <v>818</v>
      </c>
      <c r="U53" s="5">
        <v>42954.0</v>
      </c>
      <c r="V53" s="6" t="s">
        <v>54</v>
      </c>
      <c r="W53" s="6" t="s">
        <v>55</v>
      </c>
      <c r="X53" s="6" t="s">
        <v>102</v>
      </c>
      <c r="Y53" s="6" t="s">
        <v>123</v>
      </c>
      <c r="Z53" s="6" t="s">
        <v>819</v>
      </c>
      <c r="AA53" s="6" t="s">
        <v>820</v>
      </c>
      <c r="AD53" s="7" t="s">
        <v>813</v>
      </c>
      <c r="AE53" s="7" t="s">
        <v>813</v>
      </c>
      <c r="AF53" s="6" t="s">
        <v>821</v>
      </c>
      <c r="AG53" s="6" t="s">
        <v>822</v>
      </c>
      <c r="AH53" s="11" t="str">
        <f>HYPERLINK("https://drive.google.com/file/d/1MhKPEQGCq0DabA-AAMNQ5589426BTdll/view?usp=drivesdk", "https://drive.google.com/file/d/1MhKPEQGCq0DabA-AAMNQ5589426BTdll/view?usp=drivesdk")</f>
        <v>https://drive.google.com/file/d/1MhKPEQGCq0DabA-AAMNQ5589426BTdll/view?usp=drivesdk</v>
      </c>
      <c r="AK53" s="6" t="s">
        <v>166</v>
      </c>
      <c r="AL53" s="13"/>
    </row>
    <row r="54" ht="22.5" customHeight="1">
      <c r="A54" s="4">
        <v>45837.86213875</v>
      </c>
      <c r="B54" s="5">
        <v>45835.0</v>
      </c>
      <c r="C54" s="6" t="s">
        <v>823</v>
      </c>
      <c r="D54" s="6" t="s">
        <v>824</v>
      </c>
      <c r="E54" s="6" t="s">
        <v>825</v>
      </c>
      <c r="F54" s="6" t="s">
        <v>826</v>
      </c>
      <c r="G54" s="6" t="s">
        <v>150</v>
      </c>
      <c r="H54" s="7" t="s">
        <v>827</v>
      </c>
      <c r="I54" s="6" t="s">
        <v>828</v>
      </c>
      <c r="J54" s="6" t="s">
        <v>829</v>
      </c>
      <c r="K54" s="6" t="s">
        <v>154</v>
      </c>
      <c r="L54" s="7" t="s">
        <v>830</v>
      </c>
      <c r="M54" s="5">
        <v>45808.0</v>
      </c>
      <c r="N54" s="6" t="s">
        <v>176</v>
      </c>
      <c r="O54" s="6" t="s">
        <v>831</v>
      </c>
      <c r="P54" s="6" t="s">
        <v>176</v>
      </c>
      <c r="Q54" s="6" t="s">
        <v>832</v>
      </c>
      <c r="R54" s="6" t="s">
        <v>833</v>
      </c>
      <c r="S54" s="6" t="s">
        <v>834</v>
      </c>
      <c r="T54" s="6" t="s">
        <v>121</v>
      </c>
      <c r="U54" s="5">
        <v>40538.0</v>
      </c>
      <c r="V54" s="6" t="s">
        <v>54</v>
      </c>
      <c r="W54" s="6" t="s">
        <v>77</v>
      </c>
      <c r="X54" s="6" t="s">
        <v>102</v>
      </c>
      <c r="Z54" s="6" t="s">
        <v>835</v>
      </c>
      <c r="AA54" s="6" t="s">
        <v>423</v>
      </c>
      <c r="AD54" s="7" t="s">
        <v>830</v>
      </c>
      <c r="AE54" s="7" t="s">
        <v>836</v>
      </c>
      <c r="AH54" s="10" t="str">
        <f>HYPERLINK("https://drive.google.com/file/d/11lb3tEnmPgcXkqzd-dqDK8MBm6QR8ymY/view?usp=drivesdk", "https://drive.google.com/file/d/11lb3tEnmPgcXkqzd-dqDK8MBm6QR8ymY/view?usp=drivesdk")</f>
        <v>https://drive.google.com/file/d/11lb3tEnmPgcXkqzd-dqDK8MBm6QR8ymY/view?usp=drivesdk</v>
      </c>
      <c r="AJ54" s="6" t="s">
        <v>837</v>
      </c>
      <c r="AK54" s="6" t="s">
        <v>605</v>
      </c>
      <c r="AL54" s="13"/>
    </row>
    <row r="55" ht="22.5" customHeight="1">
      <c r="A55" s="4">
        <v>45837.866092638884</v>
      </c>
      <c r="B55" s="5">
        <v>45835.0</v>
      </c>
      <c r="C55" s="6" t="s">
        <v>805</v>
      </c>
      <c r="D55" s="6" t="s">
        <v>806</v>
      </c>
      <c r="E55" s="6" t="s">
        <v>807</v>
      </c>
      <c r="F55" s="6" t="s">
        <v>808</v>
      </c>
      <c r="G55" s="6" t="s">
        <v>838</v>
      </c>
      <c r="H55" s="7" t="s">
        <v>810</v>
      </c>
      <c r="I55" s="6" t="s">
        <v>811</v>
      </c>
      <c r="J55" s="6" t="s">
        <v>839</v>
      </c>
      <c r="K55" s="6" t="s">
        <v>95</v>
      </c>
      <c r="L55" s="7" t="s">
        <v>813</v>
      </c>
      <c r="M55" s="5">
        <v>45808.0</v>
      </c>
      <c r="N55" s="6" t="s">
        <v>504</v>
      </c>
      <c r="O55" s="6" t="s">
        <v>814</v>
      </c>
      <c r="P55" s="6" t="s">
        <v>504</v>
      </c>
      <c r="Q55" s="6" t="s">
        <v>815</v>
      </c>
      <c r="R55" s="6" t="s">
        <v>840</v>
      </c>
      <c r="S55" s="6" t="s">
        <v>841</v>
      </c>
      <c r="T55" s="6" t="s">
        <v>818</v>
      </c>
      <c r="U55" s="5">
        <v>42954.0</v>
      </c>
      <c r="V55" s="6" t="s">
        <v>54</v>
      </c>
      <c r="W55" s="6" t="s">
        <v>55</v>
      </c>
      <c r="X55" s="6" t="s">
        <v>102</v>
      </c>
      <c r="Y55" s="6" t="s">
        <v>123</v>
      </c>
      <c r="Z55" s="6" t="s">
        <v>842</v>
      </c>
      <c r="AA55" s="6" t="s">
        <v>820</v>
      </c>
      <c r="AD55" s="7" t="s">
        <v>813</v>
      </c>
      <c r="AE55" s="7" t="s">
        <v>813</v>
      </c>
      <c r="AF55" s="6" t="s">
        <v>843</v>
      </c>
      <c r="AG55" s="6" t="s">
        <v>822</v>
      </c>
      <c r="AH55" s="11" t="str">
        <f>HYPERLINK("https://drive.google.com/file/d/1MhKPEQGCq0DabA-AAMNQ5589426BTdll/view?usp=drivesdk", "https://drive.google.com/file/d/1MhKPEQGCq0DabA-AAMNQ5589426BTdll/view?usp=drivesdk")</f>
        <v>https://drive.google.com/file/d/1MhKPEQGCq0DabA-AAMNQ5589426BTdll/view?usp=drivesdk</v>
      </c>
      <c r="AJ55" s="6" t="s">
        <v>844</v>
      </c>
      <c r="AK55" s="6" t="s">
        <v>166</v>
      </c>
      <c r="AL55" s="13"/>
    </row>
    <row r="56" ht="22.5" customHeight="1">
      <c r="A56" s="4">
        <v>45837.88076998843</v>
      </c>
      <c r="B56" s="5">
        <v>45835.0</v>
      </c>
      <c r="C56" s="6" t="s">
        <v>845</v>
      </c>
      <c r="D56" s="6" t="s">
        <v>846</v>
      </c>
      <c r="E56" s="6" t="s">
        <v>847</v>
      </c>
      <c r="F56" s="6" t="s">
        <v>848</v>
      </c>
      <c r="G56" s="6" t="s">
        <v>849</v>
      </c>
      <c r="H56" s="7" t="s">
        <v>850</v>
      </c>
      <c r="I56" s="6" t="s">
        <v>851</v>
      </c>
      <c r="J56" s="6" t="s">
        <v>852</v>
      </c>
      <c r="K56" s="6" t="s">
        <v>853</v>
      </c>
      <c r="L56" s="7" t="s">
        <v>854</v>
      </c>
      <c r="M56" s="5">
        <v>45808.0</v>
      </c>
      <c r="N56" s="6" t="s">
        <v>48</v>
      </c>
      <c r="O56" s="6" t="s">
        <v>855</v>
      </c>
      <c r="P56" s="6" t="s">
        <v>48</v>
      </c>
      <c r="Q56" s="6" t="s">
        <v>856</v>
      </c>
      <c r="R56" s="6" t="s">
        <v>857</v>
      </c>
      <c r="S56" s="6" t="s">
        <v>857</v>
      </c>
      <c r="T56" s="6" t="s">
        <v>101</v>
      </c>
      <c r="U56" s="5">
        <v>44526.0</v>
      </c>
      <c r="V56" s="6" t="s">
        <v>54</v>
      </c>
      <c r="W56" s="6" t="s">
        <v>77</v>
      </c>
      <c r="X56" s="6" t="s">
        <v>102</v>
      </c>
      <c r="Y56" s="6" t="s">
        <v>160</v>
      </c>
      <c r="Z56" s="6" t="s">
        <v>858</v>
      </c>
      <c r="AA56" s="6" t="s">
        <v>859</v>
      </c>
      <c r="AB56" s="6">
        <v>10.0</v>
      </c>
      <c r="AD56" s="7" t="s">
        <v>854</v>
      </c>
      <c r="AE56" s="7" t="s">
        <v>850</v>
      </c>
      <c r="AH56" s="10" t="str">
        <f>HYPERLINK("https://drive.google.com/file/d/183RbpxprZh51BwyIt30g_V9ymo8FdlHe/view?usp=drivesdk", "https://drive.google.com/file/d/183RbpxprZh51BwyIt30g_V9ymo8FdlHe/view?usp=drivesdk")</f>
        <v>https://drive.google.com/file/d/183RbpxprZh51BwyIt30g_V9ymo8FdlHe/view?usp=drivesdk</v>
      </c>
      <c r="AK56" s="6" t="s">
        <v>166</v>
      </c>
      <c r="AL56" s="13"/>
    </row>
    <row r="57" ht="22.5" customHeight="1">
      <c r="A57" s="4">
        <v>45837.882292106486</v>
      </c>
      <c r="B57" s="5">
        <v>45835.0</v>
      </c>
      <c r="C57" s="6" t="s">
        <v>860</v>
      </c>
      <c r="D57" s="6" t="s">
        <v>861</v>
      </c>
      <c r="E57" s="6" t="s">
        <v>862</v>
      </c>
      <c r="F57" s="6" t="s">
        <v>863</v>
      </c>
      <c r="G57" s="6" t="s">
        <v>377</v>
      </c>
      <c r="H57" s="7" t="s">
        <v>864</v>
      </c>
      <c r="I57" s="6" t="s">
        <v>865</v>
      </c>
      <c r="J57" s="6" t="s">
        <v>866</v>
      </c>
      <c r="K57" s="6" t="s">
        <v>336</v>
      </c>
      <c r="L57" s="7" t="s">
        <v>867</v>
      </c>
      <c r="M57" s="5">
        <v>45808.0</v>
      </c>
      <c r="N57" s="6" t="s">
        <v>48</v>
      </c>
      <c r="O57" s="6" t="s">
        <v>868</v>
      </c>
      <c r="P57" s="6" t="s">
        <v>48</v>
      </c>
      <c r="Q57" s="6" t="s">
        <v>869</v>
      </c>
      <c r="R57" s="6" t="s">
        <v>870</v>
      </c>
      <c r="S57" s="6" t="s">
        <v>871</v>
      </c>
      <c r="T57" s="6" t="s">
        <v>517</v>
      </c>
      <c r="U57" s="5">
        <v>44020.0</v>
      </c>
      <c r="V57" s="6" t="s">
        <v>54</v>
      </c>
      <c r="W57" s="6" t="s">
        <v>55</v>
      </c>
      <c r="X57" s="6" t="s">
        <v>102</v>
      </c>
      <c r="Z57" s="6" t="s">
        <v>872</v>
      </c>
      <c r="AA57" s="6" t="s">
        <v>140</v>
      </c>
      <c r="AE57" s="7" t="s">
        <v>864</v>
      </c>
      <c r="AH57" s="11" t="str">
        <f>HYPERLINK("https://drive.google.com/file/d/1e-0xiR5Sfh1cn4F3JRtSL2AH4IOC_DLs/view?usp=drivesdk", "https://drive.google.com/file/d/1e-0xiR5Sfh1cn4F3JRtSL2AH4IOC_DLs/view?usp=drivesdk")</f>
        <v>https://drive.google.com/file/d/1e-0xiR5Sfh1cn4F3JRtSL2AH4IOC_DLs/view?usp=drivesdk</v>
      </c>
      <c r="AK57" s="6" t="s">
        <v>605</v>
      </c>
      <c r="AL57" s="13"/>
    </row>
    <row r="58" ht="22.5" customHeight="1">
      <c r="A58" s="4">
        <v>45837.88533123843</v>
      </c>
      <c r="B58" s="5" t="s">
        <v>873</v>
      </c>
      <c r="C58" s="6" t="s">
        <v>874</v>
      </c>
      <c r="D58" s="6" t="s">
        <v>875</v>
      </c>
      <c r="E58" s="6" t="s">
        <v>876</v>
      </c>
      <c r="F58" s="6" t="s">
        <v>877</v>
      </c>
      <c r="G58" s="6" t="s">
        <v>878</v>
      </c>
      <c r="H58" s="7" t="s">
        <v>879</v>
      </c>
      <c r="I58" s="6" t="s">
        <v>880</v>
      </c>
      <c r="J58" s="6" t="s">
        <v>881</v>
      </c>
      <c r="K58" s="6" t="s">
        <v>336</v>
      </c>
      <c r="L58" s="7" t="s">
        <v>882</v>
      </c>
      <c r="M58" s="5">
        <v>45808.0</v>
      </c>
      <c r="N58" s="6" t="s">
        <v>48</v>
      </c>
      <c r="O58" s="6" t="s">
        <v>883</v>
      </c>
      <c r="P58" s="6" t="s">
        <v>48</v>
      </c>
      <c r="Q58" s="6" t="s">
        <v>884</v>
      </c>
      <c r="R58" s="6" t="s">
        <v>885</v>
      </c>
      <c r="S58" s="6" t="s">
        <v>886</v>
      </c>
      <c r="T58" s="6" t="s">
        <v>887</v>
      </c>
      <c r="U58" s="5">
        <v>41274.0</v>
      </c>
      <c r="V58" s="6" t="s">
        <v>54</v>
      </c>
      <c r="W58" s="6" t="s">
        <v>77</v>
      </c>
      <c r="X58" s="6" t="s">
        <v>102</v>
      </c>
      <c r="Y58" s="6" t="s">
        <v>78</v>
      </c>
      <c r="Z58" s="6" t="s">
        <v>888</v>
      </c>
      <c r="AA58" s="6" t="s">
        <v>423</v>
      </c>
      <c r="AD58" s="7" t="s">
        <v>882</v>
      </c>
      <c r="AE58" s="7" t="s">
        <v>879</v>
      </c>
      <c r="AH58" s="10" t="str">
        <f>HYPERLINK("https://drive.google.com/file/d/1GHh5OU7gjsw4B9L15lUHkhJ6TEx7h4KQ/view?usp=drivesdk", "https://drive.google.com/file/d/1GHh5OU7gjsw4B9L15lUHkhJ6TEx7h4KQ/view?usp=drivesdk")</f>
        <v>https://drive.google.com/file/d/1GHh5OU7gjsw4B9L15lUHkhJ6TEx7h4KQ/view?usp=drivesdk</v>
      </c>
      <c r="AK58" s="6" t="s">
        <v>166</v>
      </c>
      <c r="AL58" s="13"/>
    </row>
    <row r="59" ht="22.5" customHeight="1">
      <c r="A59" s="4">
        <v>45837.89839351852</v>
      </c>
      <c r="B59" s="5">
        <v>45808.0</v>
      </c>
      <c r="C59" s="6" t="s">
        <v>889</v>
      </c>
      <c r="D59" s="6" t="s">
        <v>890</v>
      </c>
      <c r="E59" s="6" t="s">
        <v>891</v>
      </c>
      <c r="F59" s="6" t="s">
        <v>892</v>
      </c>
      <c r="G59" s="6" t="s">
        <v>66</v>
      </c>
      <c r="H59" s="7" t="s">
        <v>893</v>
      </c>
      <c r="I59" s="6" t="s">
        <v>894</v>
      </c>
      <c r="J59" s="6" t="s">
        <v>895</v>
      </c>
      <c r="K59" s="6" t="s">
        <v>46</v>
      </c>
      <c r="L59" s="7" t="s">
        <v>896</v>
      </c>
      <c r="M59" s="5">
        <v>45808.0</v>
      </c>
      <c r="N59" s="6" t="s">
        <v>48</v>
      </c>
      <c r="O59" s="6" t="s">
        <v>897</v>
      </c>
      <c r="P59" s="6" t="s">
        <v>48</v>
      </c>
      <c r="R59" s="6" t="s">
        <v>898</v>
      </c>
      <c r="S59" s="6" t="s">
        <v>898</v>
      </c>
      <c r="T59" s="6" t="s">
        <v>101</v>
      </c>
      <c r="U59" s="5">
        <v>43529.0</v>
      </c>
      <c r="V59" s="6" t="s">
        <v>54</v>
      </c>
      <c r="W59" s="6" t="s">
        <v>55</v>
      </c>
      <c r="X59" s="6" t="s">
        <v>102</v>
      </c>
      <c r="Y59" s="6" t="s">
        <v>78</v>
      </c>
      <c r="Z59" s="6" t="s">
        <v>899</v>
      </c>
      <c r="AA59" s="6" t="s">
        <v>900</v>
      </c>
      <c r="AB59" s="7" t="s">
        <v>163</v>
      </c>
      <c r="AD59" s="7" t="s">
        <v>896</v>
      </c>
      <c r="AE59" s="7" t="s">
        <v>896</v>
      </c>
      <c r="AH59" s="11" t="str">
        <f>HYPERLINK("https://drive.google.com/file/d/1KCfe9h1o0JS2PWIH6o0beaOoyjIkkaOh/view?usp=drivesdk", "https://drive.google.com/file/d/1KCfe9h1o0JS2PWIH6o0beaOoyjIkkaOh/view?usp=drivesdk")</f>
        <v>https://drive.google.com/file/d/1KCfe9h1o0JS2PWIH6o0beaOoyjIkkaOh/view?usp=drivesdk</v>
      </c>
      <c r="AJ59" s="6" t="s">
        <v>901</v>
      </c>
      <c r="AK59" s="6" t="s">
        <v>61</v>
      </c>
      <c r="AL59" s="13"/>
    </row>
    <row r="60" ht="22.5" customHeight="1">
      <c r="A60" s="4">
        <v>45837.90120126157</v>
      </c>
      <c r="B60" s="5">
        <v>45835.0</v>
      </c>
      <c r="C60" s="6" t="s">
        <v>902</v>
      </c>
      <c r="D60" s="6" t="s">
        <v>903</v>
      </c>
      <c r="E60" s="6" t="s">
        <v>904</v>
      </c>
      <c r="F60" s="6" t="s">
        <v>905</v>
      </c>
      <c r="G60" s="6" t="s">
        <v>906</v>
      </c>
      <c r="H60" s="7" t="s">
        <v>907</v>
      </c>
      <c r="I60" s="6" t="s">
        <v>908</v>
      </c>
      <c r="J60" s="6" t="s">
        <v>909</v>
      </c>
      <c r="K60" s="6" t="s">
        <v>336</v>
      </c>
      <c r="L60" s="7" t="s">
        <v>910</v>
      </c>
      <c r="M60" s="5">
        <v>45808.0</v>
      </c>
      <c r="N60" s="6" t="s">
        <v>48</v>
      </c>
      <c r="O60" s="6" t="s">
        <v>911</v>
      </c>
      <c r="P60" s="6" t="s">
        <v>48</v>
      </c>
      <c r="Q60" s="6" t="s">
        <v>912</v>
      </c>
      <c r="R60" s="6" t="s">
        <v>913</v>
      </c>
      <c r="S60" s="6" t="s">
        <v>914</v>
      </c>
      <c r="T60" s="6" t="s">
        <v>76</v>
      </c>
      <c r="U60" s="5">
        <v>40872.0</v>
      </c>
      <c r="V60" s="6" t="s">
        <v>54</v>
      </c>
      <c r="W60" s="6" t="s">
        <v>77</v>
      </c>
      <c r="X60" s="6" t="s">
        <v>102</v>
      </c>
      <c r="Y60" s="6" t="s">
        <v>123</v>
      </c>
      <c r="Z60" s="6" t="s">
        <v>915</v>
      </c>
      <c r="AA60" s="6" t="s">
        <v>423</v>
      </c>
      <c r="AB60" s="6">
        <v>55.0</v>
      </c>
      <c r="AC60" s="6" t="s">
        <v>916</v>
      </c>
      <c r="AD60" s="7" t="s">
        <v>907</v>
      </c>
      <c r="AE60" s="7" t="s">
        <v>910</v>
      </c>
      <c r="AF60" s="6" t="s">
        <v>917</v>
      </c>
      <c r="AG60" s="6" t="s">
        <v>918</v>
      </c>
      <c r="AH60" s="10" t="str">
        <f>HYPERLINK("https://drive.google.com/file/d/1_3Y-phvpBJkgPdTsi7TqAa9T3RotgVZg/view?usp=drivesdk", "https://drive.google.com/file/d/1_3Y-phvpBJkgPdTsi7TqAa9T3RotgVZg/view?usp=drivesdk")</f>
        <v>https://drive.google.com/file/d/1_3Y-phvpBJkgPdTsi7TqAa9T3RotgVZg/view?usp=drivesdk</v>
      </c>
      <c r="AK60" s="6" t="s">
        <v>166</v>
      </c>
      <c r="AL60" s="13"/>
    </row>
    <row r="61" ht="22.5" customHeight="1">
      <c r="A61" s="4">
        <v>45837.90249530092</v>
      </c>
      <c r="B61" s="5">
        <v>45835.0</v>
      </c>
      <c r="C61" s="6" t="s">
        <v>919</v>
      </c>
      <c r="D61" s="6" t="s">
        <v>920</v>
      </c>
      <c r="E61" s="6" t="s">
        <v>921</v>
      </c>
      <c r="F61" s="6" t="s">
        <v>922</v>
      </c>
      <c r="G61" s="6" t="s">
        <v>42</v>
      </c>
      <c r="H61" s="7" t="s">
        <v>923</v>
      </c>
      <c r="I61" s="6" t="s">
        <v>924</v>
      </c>
      <c r="J61" s="6" t="s">
        <v>925</v>
      </c>
      <c r="K61" s="6" t="s">
        <v>46</v>
      </c>
      <c r="L61" s="7" t="s">
        <v>926</v>
      </c>
      <c r="M61" s="5">
        <v>45808.0</v>
      </c>
      <c r="N61" s="6" t="s">
        <v>48</v>
      </c>
      <c r="O61" s="6" t="s">
        <v>927</v>
      </c>
      <c r="P61" s="6" t="s">
        <v>48</v>
      </c>
      <c r="Q61" s="6" t="s">
        <v>928</v>
      </c>
      <c r="R61" s="6" t="s">
        <v>929</v>
      </c>
      <c r="S61" s="6" t="s">
        <v>930</v>
      </c>
      <c r="T61" s="6" t="s">
        <v>931</v>
      </c>
      <c r="U61" s="5">
        <v>44161.0</v>
      </c>
      <c r="V61" s="6" t="s">
        <v>54</v>
      </c>
      <c r="W61" s="6" t="s">
        <v>55</v>
      </c>
      <c r="X61" s="6" t="s">
        <v>102</v>
      </c>
      <c r="Y61" s="6" t="s">
        <v>123</v>
      </c>
      <c r="Z61" s="6" t="s">
        <v>932</v>
      </c>
      <c r="AA61" s="6" t="s">
        <v>499</v>
      </c>
      <c r="AB61" s="6">
        <v>13.0</v>
      </c>
      <c r="AD61" s="7" t="s">
        <v>923</v>
      </c>
      <c r="AE61" s="7" t="s">
        <v>923</v>
      </c>
      <c r="AF61" s="6" t="s">
        <v>933</v>
      </c>
      <c r="AH61" s="11" t="str">
        <f>HYPERLINK("https://drive.google.com/file/d/1IdqSy3Z_GMGPrGToRMlZ-Fz9hbkpXcZ1/view?usp=drivesdk", "https://drive.google.com/file/d/1IdqSy3Z_GMGPrGToRMlZ-Fz9hbkpXcZ1/view?usp=drivesdk")</f>
        <v>https://drive.google.com/file/d/1IdqSy3Z_GMGPrGToRMlZ-Fz9hbkpXcZ1/view?usp=drivesdk</v>
      </c>
      <c r="AK61" s="6" t="s">
        <v>605</v>
      </c>
      <c r="AL61" s="13"/>
    </row>
    <row r="62" ht="22.5" customHeight="1">
      <c r="A62" s="4">
        <v>45837.92515916667</v>
      </c>
      <c r="B62" s="5">
        <v>45835.0</v>
      </c>
      <c r="C62" s="6" t="s">
        <v>934</v>
      </c>
      <c r="D62" s="6" t="s">
        <v>935</v>
      </c>
      <c r="E62" s="6" t="s">
        <v>936</v>
      </c>
      <c r="F62" s="6" t="s">
        <v>937</v>
      </c>
      <c r="G62" s="6" t="s">
        <v>938</v>
      </c>
      <c r="H62" s="7" t="s">
        <v>939</v>
      </c>
      <c r="I62" s="6" t="s">
        <v>940</v>
      </c>
      <c r="J62" s="6" t="s">
        <v>941</v>
      </c>
      <c r="K62" s="6" t="s">
        <v>46</v>
      </c>
      <c r="L62" s="7" t="s">
        <v>942</v>
      </c>
      <c r="M62" s="5">
        <v>45808.0</v>
      </c>
      <c r="N62" s="6" t="s">
        <v>48</v>
      </c>
      <c r="O62" s="6" t="s">
        <v>943</v>
      </c>
      <c r="P62" s="6" t="s">
        <v>48</v>
      </c>
      <c r="R62" s="6" t="s">
        <v>944</v>
      </c>
      <c r="S62" s="6" t="s">
        <v>945</v>
      </c>
      <c r="T62" s="6" t="s">
        <v>180</v>
      </c>
      <c r="U62" s="5">
        <v>43436.0</v>
      </c>
      <c r="V62" s="6" t="s">
        <v>54</v>
      </c>
      <c r="W62" s="6" t="s">
        <v>77</v>
      </c>
      <c r="X62" s="6" t="s">
        <v>102</v>
      </c>
      <c r="Z62" s="6" t="s">
        <v>946</v>
      </c>
      <c r="AA62" s="6" t="s">
        <v>947</v>
      </c>
      <c r="AB62" s="7" t="s">
        <v>306</v>
      </c>
      <c r="AD62" s="7" t="s">
        <v>939</v>
      </c>
      <c r="AE62" s="7" t="s">
        <v>942</v>
      </c>
      <c r="AG62" s="6" t="s">
        <v>948</v>
      </c>
      <c r="AH62" s="10" t="str">
        <f>HYPERLINK("https://drive.google.com/file/d/1aegGX17LGHfwk3F35sH4kWbWXr-kX6aU/view?usp=drivesdk", "https://drive.google.com/file/d/1aegGX17LGHfwk3F35sH4kWbWXr-kX6aU/view?usp=drivesdk")</f>
        <v>https://drive.google.com/file/d/1aegGX17LGHfwk3F35sH4kWbWXr-kX6aU/view?usp=drivesdk</v>
      </c>
      <c r="AJ62" s="6" t="s">
        <v>949</v>
      </c>
      <c r="AK62" s="6" t="s">
        <v>61</v>
      </c>
      <c r="AL62" s="13"/>
    </row>
    <row r="63" ht="22.5" customHeight="1">
      <c r="A63" s="4">
        <v>45837.94312832176</v>
      </c>
      <c r="B63" s="5">
        <v>45835.0</v>
      </c>
      <c r="C63" s="6" t="s">
        <v>950</v>
      </c>
      <c r="D63" s="6" t="s">
        <v>951</v>
      </c>
      <c r="E63" s="6" t="s">
        <v>952</v>
      </c>
      <c r="F63" s="6" t="s">
        <v>953</v>
      </c>
      <c r="G63" s="6" t="s">
        <v>150</v>
      </c>
      <c r="H63" s="7" t="s">
        <v>954</v>
      </c>
      <c r="I63" s="6" t="s">
        <v>955</v>
      </c>
      <c r="J63" s="6" t="s">
        <v>956</v>
      </c>
      <c r="K63" s="6" t="s">
        <v>46</v>
      </c>
      <c r="L63" s="7" t="s">
        <v>957</v>
      </c>
      <c r="M63" s="5">
        <v>45808.0</v>
      </c>
      <c r="N63" s="6" t="s">
        <v>48</v>
      </c>
      <c r="O63" s="6" t="s">
        <v>958</v>
      </c>
      <c r="P63" s="6" t="s">
        <v>48</v>
      </c>
      <c r="R63" s="6" t="s">
        <v>959</v>
      </c>
      <c r="S63" s="6" t="s">
        <v>960</v>
      </c>
      <c r="T63" s="6" t="s">
        <v>961</v>
      </c>
      <c r="U63" s="5">
        <v>43966.0</v>
      </c>
      <c r="V63" s="6" t="s">
        <v>54</v>
      </c>
      <c r="W63" s="6" t="s">
        <v>55</v>
      </c>
      <c r="X63" s="6" t="s">
        <v>102</v>
      </c>
      <c r="Y63" s="6" t="s">
        <v>123</v>
      </c>
      <c r="Z63" s="6" t="s">
        <v>962</v>
      </c>
      <c r="AA63" s="6" t="s">
        <v>963</v>
      </c>
      <c r="AD63" s="7" t="s">
        <v>957</v>
      </c>
      <c r="AE63" s="7" t="s">
        <v>954</v>
      </c>
      <c r="AH63" s="11" t="str">
        <f>HYPERLINK("https://drive.google.com/file/d/1oaJdyrUsnJDhukd7yk_PgTCXAU3r4_ma/view?usp=drivesdk", "https://drive.google.com/file/d/1oaJdyrUsnJDhukd7yk_PgTCXAU3r4_ma/view?usp=drivesdk")</f>
        <v>https://drive.google.com/file/d/1oaJdyrUsnJDhukd7yk_PgTCXAU3r4_ma/view?usp=drivesdk</v>
      </c>
      <c r="AK63" s="6" t="s">
        <v>61</v>
      </c>
      <c r="AL63" s="13"/>
    </row>
    <row r="64" ht="22.5" customHeight="1">
      <c r="A64" s="4">
        <v>45837.955448611116</v>
      </c>
      <c r="B64" s="5">
        <v>45835.0</v>
      </c>
      <c r="C64" s="6" t="s">
        <v>964</v>
      </c>
      <c r="D64" s="6" t="s">
        <v>965</v>
      </c>
      <c r="E64" s="6" t="s">
        <v>966</v>
      </c>
      <c r="F64" s="6" t="s">
        <v>967</v>
      </c>
      <c r="G64" s="6" t="s">
        <v>150</v>
      </c>
      <c r="H64" s="7" t="s">
        <v>968</v>
      </c>
      <c r="I64" s="6" t="s">
        <v>969</v>
      </c>
      <c r="J64" s="6" t="s">
        <v>970</v>
      </c>
      <c r="K64" s="6" t="s">
        <v>971</v>
      </c>
      <c r="L64" s="7" t="s">
        <v>972</v>
      </c>
      <c r="M64" s="5">
        <v>45808.0</v>
      </c>
      <c r="N64" s="6" t="s">
        <v>48</v>
      </c>
      <c r="O64" s="6" t="s">
        <v>973</v>
      </c>
      <c r="P64" s="6" t="s">
        <v>48</v>
      </c>
      <c r="Q64" s="6" t="s">
        <v>974</v>
      </c>
      <c r="R64" s="6" t="s">
        <v>975</v>
      </c>
      <c r="S64" s="6" t="s">
        <v>976</v>
      </c>
      <c r="T64" s="6" t="s">
        <v>180</v>
      </c>
      <c r="U64" s="5">
        <v>43661.0</v>
      </c>
      <c r="V64" s="6" t="s">
        <v>54</v>
      </c>
      <c r="W64" s="6" t="s">
        <v>77</v>
      </c>
      <c r="X64" s="6" t="s">
        <v>102</v>
      </c>
      <c r="Y64" s="6" t="s">
        <v>78</v>
      </c>
      <c r="Z64" s="6" t="s">
        <v>977</v>
      </c>
      <c r="AA64" s="6" t="s">
        <v>162</v>
      </c>
      <c r="AB64" s="6">
        <v>25.0</v>
      </c>
      <c r="AD64" s="7" t="s">
        <v>978</v>
      </c>
      <c r="AE64" s="7" t="s">
        <v>978</v>
      </c>
      <c r="AH64" s="12" t="s">
        <v>222</v>
      </c>
      <c r="AK64" s="6" t="s">
        <v>61</v>
      </c>
      <c r="AL64" s="13"/>
    </row>
    <row r="65" ht="22.5" customHeight="1">
      <c r="A65" s="4">
        <v>45837.98193587963</v>
      </c>
      <c r="B65" s="5">
        <v>45835.0</v>
      </c>
      <c r="C65" s="6" t="s">
        <v>979</v>
      </c>
      <c r="D65" s="6" t="s">
        <v>980</v>
      </c>
      <c r="E65" s="6" t="s">
        <v>981</v>
      </c>
      <c r="F65" s="6" t="s">
        <v>982</v>
      </c>
      <c r="G65" s="6" t="s">
        <v>699</v>
      </c>
      <c r="H65" s="7" t="s">
        <v>983</v>
      </c>
      <c r="I65" s="6" t="s">
        <v>984</v>
      </c>
      <c r="J65" s="6" t="s">
        <v>985</v>
      </c>
      <c r="K65" s="6" t="s">
        <v>336</v>
      </c>
      <c r="L65" s="7" t="s">
        <v>986</v>
      </c>
      <c r="M65" s="5">
        <v>45808.0</v>
      </c>
      <c r="N65" s="6" t="s">
        <v>48</v>
      </c>
      <c r="O65" s="6" t="s">
        <v>987</v>
      </c>
      <c r="P65" s="6" t="s">
        <v>48</v>
      </c>
      <c r="Q65" s="6" t="s">
        <v>988</v>
      </c>
      <c r="R65" s="6" t="s">
        <v>989</v>
      </c>
      <c r="S65" s="6" t="s">
        <v>990</v>
      </c>
      <c r="T65" s="6" t="s">
        <v>991</v>
      </c>
      <c r="U65" s="5">
        <v>40059.0</v>
      </c>
      <c r="V65" s="6" t="s">
        <v>54</v>
      </c>
      <c r="W65" s="6" t="s">
        <v>77</v>
      </c>
      <c r="X65" s="6" t="s">
        <v>102</v>
      </c>
      <c r="Y65" s="6" t="s">
        <v>78</v>
      </c>
      <c r="Z65" s="6" t="s">
        <v>992</v>
      </c>
      <c r="AA65" s="6" t="s">
        <v>993</v>
      </c>
      <c r="AB65" s="6">
        <v>7.0</v>
      </c>
      <c r="AC65" s="6" t="s">
        <v>462</v>
      </c>
      <c r="AD65" s="7" t="s">
        <v>994</v>
      </c>
      <c r="AE65" s="7" t="s">
        <v>995</v>
      </c>
      <c r="AG65" s="6" t="s">
        <v>996</v>
      </c>
      <c r="AH65" s="11" t="str">
        <f>HYPERLINK("https://drive.google.com/file/d/1_hG70YuhkJdWeOKoIA4Jn48Bw6VaaJ9k/view?usp=drivesdk", "https://drive.google.com/file/d/1_hG70YuhkJdWeOKoIA4Jn48Bw6VaaJ9k/view?usp=drivesdk")</f>
        <v>https://drive.google.com/file/d/1_hG70YuhkJdWeOKoIA4Jn48Bw6VaaJ9k/view?usp=drivesdk</v>
      </c>
      <c r="AJ65" s="6" t="s">
        <v>997</v>
      </c>
      <c r="AK65" s="6" t="s">
        <v>61</v>
      </c>
      <c r="AL65" s="13"/>
    </row>
    <row r="66" ht="22.5" customHeight="1">
      <c r="A66" s="4">
        <v>45837.99364048611</v>
      </c>
      <c r="B66" s="5">
        <v>45835.0</v>
      </c>
      <c r="C66" s="6" t="s">
        <v>998</v>
      </c>
      <c r="D66" s="6" t="s">
        <v>999</v>
      </c>
      <c r="E66" s="6" t="s">
        <v>1000</v>
      </c>
      <c r="F66" s="6" t="s">
        <v>1001</v>
      </c>
      <c r="G66" s="6" t="s">
        <v>679</v>
      </c>
      <c r="H66" s="7" t="s">
        <v>1002</v>
      </c>
      <c r="I66" s="6" t="s">
        <v>1003</v>
      </c>
      <c r="J66" s="6" t="s">
        <v>1004</v>
      </c>
      <c r="K66" s="6" t="s">
        <v>336</v>
      </c>
      <c r="L66" s="7" t="s">
        <v>1002</v>
      </c>
      <c r="M66" s="5">
        <v>45808.0</v>
      </c>
      <c r="N66" s="6" t="s">
        <v>48</v>
      </c>
      <c r="O66" s="6" t="s">
        <v>1005</v>
      </c>
      <c r="P66" s="6" t="s">
        <v>48</v>
      </c>
      <c r="Q66" s="6" t="s">
        <v>1006</v>
      </c>
      <c r="R66" s="6" t="s">
        <v>1007</v>
      </c>
      <c r="S66" s="6" t="s">
        <v>1008</v>
      </c>
      <c r="T66" s="6" t="s">
        <v>887</v>
      </c>
      <c r="U66" s="5">
        <v>38701.0</v>
      </c>
      <c r="V66" s="6" t="s">
        <v>54</v>
      </c>
      <c r="W66" s="6" t="s">
        <v>77</v>
      </c>
      <c r="X66" s="6" t="s">
        <v>102</v>
      </c>
      <c r="Y66" s="6" t="s">
        <v>123</v>
      </c>
      <c r="Z66" s="6" t="s">
        <v>1009</v>
      </c>
      <c r="AA66" s="6" t="s">
        <v>1010</v>
      </c>
      <c r="AB66" s="6">
        <v>7.0</v>
      </c>
      <c r="AC66" s="6" t="s">
        <v>1011</v>
      </c>
      <c r="AD66" s="7" t="s">
        <v>1012</v>
      </c>
      <c r="AE66" s="7" t="s">
        <v>1013</v>
      </c>
      <c r="AG66" s="6" t="s">
        <v>1014</v>
      </c>
      <c r="AH66" s="12" t="s">
        <v>222</v>
      </c>
      <c r="AJ66" s="6" t="s">
        <v>1015</v>
      </c>
      <c r="AK66" s="6" t="s">
        <v>61</v>
      </c>
      <c r="AL66" s="13"/>
    </row>
    <row r="67" ht="22.5" customHeight="1">
      <c r="A67" s="18">
        <v>45838.00349225695</v>
      </c>
      <c r="B67" s="19">
        <v>39345.0</v>
      </c>
      <c r="C67" s="20" t="s">
        <v>1016</v>
      </c>
      <c r="D67" s="20" t="s">
        <v>1017</v>
      </c>
      <c r="E67" s="20" t="s">
        <v>1018</v>
      </c>
      <c r="F67" s="20" t="s">
        <v>1019</v>
      </c>
      <c r="G67" s="20" t="s">
        <v>208</v>
      </c>
      <c r="H67" s="21" t="s">
        <v>1020</v>
      </c>
      <c r="I67" s="20" t="s">
        <v>1021</v>
      </c>
      <c r="J67" s="20" t="s">
        <v>1022</v>
      </c>
      <c r="K67" s="20" t="s">
        <v>171</v>
      </c>
      <c r="L67" s="21" t="s">
        <v>1023</v>
      </c>
      <c r="M67" s="19">
        <v>45813.0</v>
      </c>
      <c r="N67" s="20" t="s">
        <v>71</v>
      </c>
      <c r="O67" s="20" t="s">
        <v>1024</v>
      </c>
      <c r="P67" s="20" t="s">
        <v>71</v>
      </c>
      <c r="Q67" s="20" t="s">
        <v>1025</v>
      </c>
      <c r="R67" s="20" t="s">
        <v>1026</v>
      </c>
      <c r="S67" s="20" t="s">
        <v>1027</v>
      </c>
      <c r="T67" s="20" t="s">
        <v>180</v>
      </c>
      <c r="U67" s="19">
        <v>39345.0</v>
      </c>
      <c r="V67" s="20" t="s">
        <v>54</v>
      </c>
      <c r="W67" s="20" t="s">
        <v>77</v>
      </c>
      <c r="X67" s="20" t="s">
        <v>102</v>
      </c>
      <c r="Y67" s="20" t="s">
        <v>123</v>
      </c>
      <c r="Z67" s="20" t="s">
        <v>1028</v>
      </c>
      <c r="AA67" s="20" t="s">
        <v>1029</v>
      </c>
      <c r="AB67" s="20">
        <v>3301.0</v>
      </c>
      <c r="AC67" s="20" t="s">
        <v>1030</v>
      </c>
      <c r="AD67" s="21" t="s">
        <v>1031</v>
      </c>
      <c r="AE67" s="21" t="s">
        <v>1031</v>
      </c>
      <c r="AF67" s="20" t="s">
        <v>1032</v>
      </c>
      <c r="AG67" s="20" t="s">
        <v>1033</v>
      </c>
      <c r="AH67" s="22" t="s">
        <v>222</v>
      </c>
      <c r="AI67" s="23"/>
      <c r="AJ67" s="20" t="s">
        <v>1034</v>
      </c>
      <c r="AK67" s="20" t="s">
        <v>1035</v>
      </c>
      <c r="AL67" s="24"/>
      <c r="AM67" s="25"/>
      <c r="AN67" s="25"/>
      <c r="AO67" s="25"/>
    </row>
    <row r="68" ht="22.5" customHeight="1">
      <c r="A68" s="4">
        <v>45838.47817200232</v>
      </c>
      <c r="B68" s="5">
        <v>45835.0</v>
      </c>
      <c r="C68" s="6" t="s">
        <v>1036</v>
      </c>
      <c r="D68" s="6" t="s">
        <v>1037</v>
      </c>
      <c r="E68" s="6" t="s">
        <v>1038</v>
      </c>
      <c r="F68" s="6" t="s">
        <v>1039</v>
      </c>
      <c r="G68" s="6" t="s">
        <v>1040</v>
      </c>
      <c r="H68" s="7" t="s">
        <v>1041</v>
      </c>
      <c r="I68" s="6" t="s">
        <v>1042</v>
      </c>
      <c r="J68" s="6" t="s">
        <v>1043</v>
      </c>
      <c r="K68" s="6" t="s">
        <v>46</v>
      </c>
      <c r="L68" s="7" t="s">
        <v>1044</v>
      </c>
      <c r="M68" s="5">
        <v>45808.0</v>
      </c>
      <c r="N68" s="6" t="s">
        <v>48</v>
      </c>
      <c r="O68" s="6" t="s">
        <v>1045</v>
      </c>
      <c r="P68" s="6" t="s">
        <v>48</v>
      </c>
      <c r="Q68" s="6" t="s">
        <v>1046</v>
      </c>
      <c r="R68" s="6" t="s">
        <v>1047</v>
      </c>
      <c r="S68" s="6" t="s">
        <v>1048</v>
      </c>
      <c r="T68" s="6" t="s">
        <v>1049</v>
      </c>
      <c r="U68" s="5">
        <v>42630.0</v>
      </c>
      <c r="V68" s="6" t="s">
        <v>54</v>
      </c>
      <c r="W68" s="6" t="s">
        <v>77</v>
      </c>
      <c r="X68" s="6" t="s">
        <v>102</v>
      </c>
      <c r="Y68" s="6" t="s">
        <v>160</v>
      </c>
      <c r="Z68" s="6" t="s">
        <v>1050</v>
      </c>
      <c r="AA68" s="6" t="s">
        <v>672</v>
      </c>
      <c r="AB68" s="6" t="s">
        <v>1051</v>
      </c>
      <c r="AC68" s="6" t="s">
        <v>656</v>
      </c>
      <c r="AD68" s="7" t="s">
        <v>1041</v>
      </c>
      <c r="AE68" s="7" t="s">
        <v>1041</v>
      </c>
      <c r="AF68" s="6" t="s">
        <v>1052</v>
      </c>
      <c r="AG68" s="6" t="s">
        <v>1053</v>
      </c>
      <c r="AH68" s="26" t="s">
        <v>1054</v>
      </c>
      <c r="AK68" s="6" t="s">
        <v>61</v>
      </c>
      <c r="AL68" s="13"/>
    </row>
    <row r="69" ht="22.5" customHeight="1">
      <c r="A69" s="4">
        <v>45838.490866631946</v>
      </c>
      <c r="B69" s="5">
        <v>45835.0</v>
      </c>
      <c r="C69" s="6" t="s">
        <v>1055</v>
      </c>
      <c r="D69" s="6" t="s">
        <v>1056</v>
      </c>
      <c r="E69" s="6" t="s">
        <v>1057</v>
      </c>
      <c r="F69" s="6" t="s">
        <v>1058</v>
      </c>
      <c r="G69" s="6" t="s">
        <v>971</v>
      </c>
      <c r="H69" s="7" t="s">
        <v>1059</v>
      </c>
      <c r="I69" s="6" t="s">
        <v>1060</v>
      </c>
      <c r="J69" s="6" t="s">
        <v>1061</v>
      </c>
      <c r="K69" s="6" t="s">
        <v>46</v>
      </c>
      <c r="L69" s="7" t="s">
        <v>1062</v>
      </c>
      <c r="M69" s="5">
        <v>45808.0</v>
      </c>
      <c r="N69" s="6" t="s">
        <v>48</v>
      </c>
      <c r="O69" s="6" t="s">
        <v>1063</v>
      </c>
      <c r="P69" s="6" t="s">
        <v>48</v>
      </c>
      <c r="Q69" s="6" t="s">
        <v>1064</v>
      </c>
      <c r="R69" s="6" t="s">
        <v>1065</v>
      </c>
      <c r="S69" s="6" t="s">
        <v>1066</v>
      </c>
      <c r="T69" s="6" t="s">
        <v>438</v>
      </c>
      <c r="U69" s="5">
        <v>43872.0</v>
      </c>
      <c r="V69" s="6" t="s">
        <v>54</v>
      </c>
      <c r="W69" s="6" t="s">
        <v>77</v>
      </c>
      <c r="X69" s="6" t="s">
        <v>102</v>
      </c>
      <c r="Y69" s="6" t="s">
        <v>160</v>
      </c>
      <c r="Z69" s="6" t="s">
        <v>1067</v>
      </c>
      <c r="AA69" s="6" t="s">
        <v>1068</v>
      </c>
      <c r="AD69" s="7" t="s">
        <v>1059</v>
      </c>
      <c r="AE69" s="7" t="s">
        <v>1059</v>
      </c>
      <c r="AH69" s="11" t="str">
        <f>HYPERLINK("https://drive.google.com/file/d/1Ij58ulFdP8m-xAfNBsuf4hAakeVKS9zF/view?usp=drivesdk", "https://drive.google.com/file/d/1Ij58ulFdP8m-xAfNBsuf4hAakeVKS9zF/view?usp=drivesdk")</f>
        <v>https://drive.google.com/file/d/1Ij58ulFdP8m-xAfNBsuf4hAakeVKS9zF/view?usp=drivesdk</v>
      </c>
      <c r="AK69" s="6" t="s">
        <v>61</v>
      </c>
      <c r="AL69" s="13"/>
    </row>
    <row r="70" ht="22.5" customHeight="1">
      <c r="A70" s="4">
        <v>45838.503315486116</v>
      </c>
      <c r="B70" s="5">
        <v>45835.0</v>
      </c>
      <c r="C70" s="6" t="s">
        <v>1069</v>
      </c>
      <c r="D70" s="6" t="s">
        <v>1070</v>
      </c>
      <c r="E70" s="6" t="s">
        <v>1057</v>
      </c>
      <c r="F70" s="6" t="s">
        <v>1058</v>
      </c>
      <c r="G70" s="6" t="s">
        <v>971</v>
      </c>
      <c r="H70" s="7" t="s">
        <v>1059</v>
      </c>
      <c r="I70" s="6" t="s">
        <v>1060</v>
      </c>
      <c r="J70" s="6" t="s">
        <v>1061</v>
      </c>
      <c r="K70" s="6" t="s">
        <v>46</v>
      </c>
      <c r="L70" s="7" t="s">
        <v>1062</v>
      </c>
      <c r="M70" s="5">
        <v>45808.0</v>
      </c>
      <c r="N70" s="6" t="s">
        <v>48</v>
      </c>
      <c r="O70" s="6" t="s">
        <v>1071</v>
      </c>
      <c r="P70" s="6" t="s">
        <v>48</v>
      </c>
      <c r="Q70" s="6" t="s">
        <v>1072</v>
      </c>
      <c r="R70" s="6" t="s">
        <v>1073</v>
      </c>
      <c r="S70" s="6" t="s">
        <v>1074</v>
      </c>
      <c r="T70" s="6" t="s">
        <v>438</v>
      </c>
      <c r="U70" s="5">
        <v>42239.0</v>
      </c>
      <c r="V70" s="6" t="s">
        <v>54</v>
      </c>
      <c r="W70" s="6" t="s">
        <v>77</v>
      </c>
      <c r="X70" s="6" t="s">
        <v>102</v>
      </c>
      <c r="Y70" s="6" t="s">
        <v>160</v>
      </c>
      <c r="Z70" s="6" t="s">
        <v>1075</v>
      </c>
      <c r="AA70" s="6" t="s">
        <v>80</v>
      </c>
      <c r="AB70" s="6">
        <v>9.0</v>
      </c>
      <c r="AD70" s="7" t="s">
        <v>1059</v>
      </c>
      <c r="AE70" s="7" t="s">
        <v>1059</v>
      </c>
      <c r="AH70" s="10" t="str">
        <f t="shared" ref="AH70:AH71" si="7">HYPERLINK("https://drive.google.com/file/d/1RY-F7zkh3RZYj01T7_b2mqda4w-vDeyk/view?usp=drivesdk", "https://drive.google.com/file/d/1RY-F7zkh3RZYj01T7_b2mqda4w-vDeyk/view?usp=drivesdk")</f>
        <v>https://drive.google.com/file/d/1RY-F7zkh3RZYj01T7_b2mqda4w-vDeyk/view?usp=drivesdk</v>
      </c>
      <c r="AJ70" s="6" t="s">
        <v>1076</v>
      </c>
      <c r="AK70" s="6" t="s">
        <v>1077</v>
      </c>
      <c r="AL70" s="13"/>
    </row>
    <row r="71" ht="22.5" customHeight="1">
      <c r="A71" s="4">
        <v>45838.50759925926</v>
      </c>
      <c r="B71" s="5">
        <v>45835.0</v>
      </c>
      <c r="C71" s="6" t="s">
        <v>1078</v>
      </c>
      <c r="D71" s="6" t="s">
        <v>1079</v>
      </c>
      <c r="E71" s="6" t="s">
        <v>1080</v>
      </c>
      <c r="F71" s="6" t="s">
        <v>1058</v>
      </c>
      <c r="G71" s="6" t="s">
        <v>971</v>
      </c>
      <c r="H71" s="7" t="s">
        <v>1059</v>
      </c>
      <c r="I71" s="6" t="s">
        <v>1081</v>
      </c>
      <c r="J71" s="6" t="s">
        <v>1061</v>
      </c>
      <c r="K71" s="6" t="s">
        <v>336</v>
      </c>
      <c r="L71" s="7" t="s">
        <v>1062</v>
      </c>
      <c r="M71" s="5">
        <v>45808.0</v>
      </c>
      <c r="N71" s="6" t="s">
        <v>176</v>
      </c>
      <c r="O71" s="6" t="s">
        <v>1071</v>
      </c>
      <c r="P71" s="6" t="s">
        <v>176</v>
      </c>
      <c r="Q71" s="6" t="s">
        <v>1072</v>
      </c>
      <c r="R71" s="6" t="s">
        <v>1082</v>
      </c>
      <c r="S71" s="6" t="s">
        <v>1074</v>
      </c>
      <c r="T71" s="6" t="s">
        <v>438</v>
      </c>
      <c r="U71" s="5">
        <v>42241.0</v>
      </c>
      <c r="V71" s="6" t="s">
        <v>54</v>
      </c>
      <c r="W71" s="6" t="s">
        <v>77</v>
      </c>
      <c r="X71" s="6" t="s">
        <v>102</v>
      </c>
      <c r="Y71" s="6" t="s">
        <v>160</v>
      </c>
      <c r="Z71" s="6" t="s">
        <v>1083</v>
      </c>
      <c r="AA71" s="6" t="s">
        <v>370</v>
      </c>
      <c r="AB71" s="6">
        <v>9.0</v>
      </c>
      <c r="AD71" s="7" t="s">
        <v>1059</v>
      </c>
      <c r="AE71" s="7" t="s">
        <v>1059</v>
      </c>
      <c r="AH71" s="11" t="str">
        <f t="shared" si="7"/>
        <v>https://drive.google.com/file/d/1RY-F7zkh3RZYj01T7_b2mqda4w-vDeyk/view?usp=drivesdk</v>
      </c>
      <c r="AJ71" s="6" t="s">
        <v>1084</v>
      </c>
      <c r="AK71" s="6" t="s">
        <v>61</v>
      </c>
      <c r="AL71" s="13"/>
    </row>
    <row r="72" ht="22.5" customHeight="1">
      <c r="A72" s="4">
        <v>45838.51575542824</v>
      </c>
      <c r="B72" s="5">
        <v>45835.0</v>
      </c>
      <c r="C72" s="6" t="s">
        <v>1085</v>
      </c>
      <c r="D72" s="6" t="s">
        <v>1086</v>
      </c>
      <c r="E72" s="6" t="s">
        <v>1087</v>
      </c>
      <c r="F72" s="6" t="s">
        <v>1088</v>
      </c>
      <c r="G72" s="6" t="s">
        <v>971</v>
      </c>
      <c r="H72" s="7" t="s">
        <v>1089</v>
      </c>
      <c r="I72" s="6" t="s">
        <v>1090</v>
      </c>
      <c r="J72" s="6" t="s">
        <v>1091</v>
      </c>
      <c r="K72" s="6" t="s">
        <v>336</v>
      </c>
      <c r="L72" s="7" t="s">
        <v>1092</v>
      </c>
      <c r="M72" s="5">
        <v>45808.0</v>
      </c>
      <c r="N72" s="6" t="s">
        <v>48</v>
      </c>
      <c r="O72" s="6" t="s">
        <v>1093</v>
      </c>
      <c r="P72" s="6" t="s">
        <v>48</v>
      </c>
      <c r="Q72" s="6" t="s">
        <v>1094</v>
      </c>
      <c r="R72" s="6" t="s">
        <v>1095</v>
      </c>
      <c r="S72" s="6" t="s">
        <v>1096</v>
      </c>
      <c r="T72" s="6" t="s">
        <v>340</v>
      </c>
      <c r="U72" s="5">
        <v>41884.0</v>
      </c>
      <c r="V72" s="6" t="s">
        <v>54</v>
      </c>
      <c r="W72" s="6" t="s">
        <v>77</v>
      </c>
      <c r="X72" s="6" t="s">
        <v>102</v>
      </c>
      <c r="Y72" s="6" t="s">
        <v>123</v>
      </c>
      <c r="Z72" s="6" t="s">
        <v>1097</v>
      </c>
      <c r="AA72" s="6" t="s">
        <v>1098</v>
      </c>
      <c r="AB72" s="6">
        <v>7.0</v>
      </c>
      <c r="AD72" s="7" t="s">
        <v>1092</v>
      </c>
      <c r="AE72" s="7" t="s">
        <v>1089</v>
      </c>
      <c r="AH72" s="10" t="str">
        <f>HYPERLINK("https://drive.google.com/file/d/1EcisHB8wpNmXnr1sRfp3h4CJ--AaHPwg/view?usp=drivesdk", "https://drive.google.com/file/d/1EcisHB8wpNmXnr1sRfp3h4CJ--AaHPwg/view?usp=drivesdk")</f>
        <v>https://drive.google.com/file/d/1EcisHB8wpNmXnr1sRfp3h4CJ--AaHPwg/view?usp=drivesdk</v>
      </c>
      <c r="AK72" s="6" t="s">
        <v>61</v>
      </c>
      <c r="AL72" s="13"/>
    </row>
    <row r="73" ht="22.5" customHeight="1">
      <c r="A73" s="4">
        <v>45838.52576412037</v>
      </c>
      <c r="B73" s="5">
        <v>45835.0</v>
      </c>
      <c r="C73" s="6" t="s">
        <v>1099</v>
      </c>
      <c r="D73" s="6" t="s">
        <v>1100</v>
      </c>
      <c r="E73" s="6" t="s">
        <v>1101</v>
      </c>
      <c r="F73" s="6" t="s">
        <v>1102</v>
      </c>
      <c r="G73" s="6" t="s">
        <v>1103</v>
      </c>
      <c r="H73" s="7" t="s">
        <v>983</v>
      </c>
      <c r="I73" s="6" t="s">
        <v>1104</v>
      </c>
      <c r="J73" s="6" t="s">
        <v>1105</v>
      </c>
      <c r="K73" s="6" t="s">
        <v>336</v>
      </c>
      <c r="L73" s="7" t="s">
        <v>1106</v>
      </c>
      <c r="M73" s="5">
        <v>45808.0</v>
      </c>
      <c r="N73" s="6" t="s">
        <v>48</v>
      </c>
      <c r="O73" s="6" t="s">
        <v>1107</v>
      </c>
      <c r="P73" s="6" t="s">
        <v>48</v>
      </c>
      <c r="Q73" s="6">
        <v>3.767824067E9</v>
      </c>
      <c r="R73" s="6" t="s">
        <v>1108</v>
      </c>
      <c r="S73" s="6" t="s">
        <v>1109</v>
      </c>
      <c r="T73" s="6" t="s">
        <v>438</v>
      </c>
      <c r="U73" s="5">
        <v>36193.0</v>
      </c>
      <c r="V73" s="6" t="s">
        <v>54</v>
      </c>
      <c r="W73" s="6" t="s">
        <v>77</v>
      </c>
      <c r="X73" s="6" t="s">
        <v>102</v>
      </c>
      <c r="Z73" s="6" t="s">
        <v>1110</v>
      </c>
      <c r="AA73" s="6" t="s">
        <v>1111</v>
      </c>
      <c r="AC73" s="6" t="s">
        <v>1112</v>
      </c>
      <c r="AD73" s="7" t="s">
        <v>1113</v>
      </c>
      <c r="AE73" s="7" t="s">
        <v>1113</v>
      </c>
      <c r="AF73" s="6" t="s">
        <v>1114</v>
      </c>
      <c r="AG73" s="6" t="s">
        <v>1115</v>
      </c>
      <c r="AH73" s="11" t="str">
        <f>HYPERLINK("https://drive.google.com/file/d/1bo-tg95Hd-jFK_V1gfAozWiYghPBM0a_/view?usp=drivesdk", "https://drive.google.com/file/d/1bo-tg95Hd-jFK_V1gfAozWiYghPBM0a_/view?usp=drivesdk")</f>
        <v>https://drive.google.com/file/d/1bo-tg95Hd-jFK_V1gfAozWiYghPBM0a_/view?usp=drivesdk</v>
      </c>
      <c r="AJ73" s="6" t="s">
        <v>1116</v>
      </c>
      <c r="AK73" s="6" t="s">
        <v>61</v>
      </c>
      <c r="AL73" s="13"/>
    </row>
    <row r="74" ht="22.5" customHeight="1">
      <c r="A74" s="4">
        <v>45838.6588115162</v>
      </c>
      <c r="B74" s="5">
        <v>45834.0</v>
      </c>
      <c r="C74" s="6" t="s">
        <v>1117</v>
      </c>
      <c r="D74" s="6" t="s">
        <v>1118</v>
      </c>
      <c r="E74" s="6" t="s">
        <v>792</v>
      </c>
      <c r="F74" s="6" t="s">
        <v>1119</v>
      </c>
      <c r="G74" s="6" t="s">
        <v>332</v>
      </c>
      <c r="H74" s="7" t="s">
        <v>794</v>
      </c>
      <c r="I74" s="6" t="s">
        <v>795</v>
      </c>
      <c r="J74" s="6" t="s">
        <v>1120</v>
      </c>
      <c r="K74" s="6" t="s">
        <v>336</v>
      </c>
      <c r="L74" s="7" t="s">
        <v>797</v>
      </c>
      <c r="M74" s="5">
        <v>45808.0</v>
      </c>
      <c r="N74" s="6" t="s">
        <v>48</v>
      </c>
      <c r="O74" s="6" t="s">
        <v>1121</v>
      </c>
      <c r="P74" s="6" t="s">
        <v>48</v>
      </c>
      <c r="Q74" s="6" t="s">
        <v>1122</v>
      </c>
      <c r="R74" s="6" t="s">
        <v>1123</v>
      </c>
      <c r="S74" s="6" t="s">
        <v>1124</v>
      </c>
      <c r="T74" s="6" t="s">
        <v>802</v>
      </c>
      <c r="U74" s="5">
        <v>41728.0</v>
      </c>
      <c r="V74" s="6" t="s">
        <v>54</v>
      </c>
      <c r="W74" s="6" t="s">
        <v>77</v>
      </c>
      <c r="X74" s="6" t="s">
        <v>102</v>
      </c>
      <c r="Y74" s="6" t="s">
        <v>123</v>
      </c>
      <c r="Z74" s="6" t="s">
        <v>1125</v>
      </c>
      <c r="AA74" s="6" t="s">
        <v>275</v>
      </c>
      <c r="AB74" s="7" t="s">
        <v>1126</v>
      </c>
      <c r="AD74" s="7" t="s">
        <v>794</v>
      </c>
      <c r="AE74" s="7" t="s">
        <v>1127</v>
      </c>
      <c r="AF74" s="6" t="s">
        <v>1128</v>
      </c>
      <c r="AG74" s="6" t="s">
        <v>1129</v>
      </c>
      <c r="AH74" s="10" t="str">
        <f t="shared" ref="AH74:AH75" si="8">HYPERLINK("https://drive.google.com/file/d/1tBP_RUXwPpCsNZOgW5HSj1O-QBoho_eI/view?usp=drivesdk", "https://drive.google.com/file/d/1tBP_RUXwPpCsNZOgW5HSj1O-QBoho_eI/view?usp=drivesdk")</f>
        <v>https://drive.google.com/file/d/1tBP_RUXwPpCsNZOgW5HSj1O-QBoho_eI/view?usp=drivesdk</v>
      </c>
      <c r="AK74" s="6" t="s">
        <v>166</v>
      </c>
      <c r="AL74" s="13"/>
    </row>
    <row r="75" ht="22.5" customHeight="1">
      <c r="A75" s="4">
        <v>45838.6648871412</v>
      </c>
      <c r="B75" s="5">
        <v>45834.0</v>
      </c>
      <c r="C75" s="6" t="s">
        <v>1117</v>
      </c>
      <c r="D75" s="6" t="s">
        <v>1118</v>
      </c>
      <c r="E75" s="6" t="s">
        <v>792</v>
      </c>
      <c r="F75" s="6" t="s">
        <v>1119</v>
      </c>
      <c r="G75" s="6" t="s">
        <v>332</v>
      </c>
      <c r="H75" s="7" t="s">
        <v>794</v>
      </c>
      <c r="I75" s="6" t="s">
        <v>795</v>
      </c>
      <c r="J75" s="6" t="s">
        <v>1130</v>
      </c>
      <c r="K75" s="6" t="s">
        <v>336</v>
      </c>
      <c r="L75" s="7" t="s">
        <v>794</v>
      </c>
      <c r="M75" s="5">
        <v>45808.0</v>
      </c>
      <c r="N75" s="6" t="s">
        <v>504</v>
      </c>
      <c r="O75" s="6" t="s">
        <v>1121</v>
      </c>
      <c r="P75" s="6" t="s">
        <v>504</v>
      </c>
      <c r="Q75" s="6" t="s">
        <v>1122</v>
      </c>
      <c r="R75" s="6" t="s">
        <v>1131</v>
      </c>
      <c r="S75" s="6" t="s">
        <v>1132</v>
      </c>
      <c r="T75" s="6" t="s">
        <v>802</v>
      </c>
      <c r="U75" s="5">
        <v>41728.0</v>
      </c>
      <c r="V75" s="6" t="s">
        <v>54</v>
      </c>
      <c r="W75" s="6" t="s">
        <v>77</v>
      </c>
      <c r="X75" s="6" t="s">
        <v>102</v>
      </c>
      <c r="Y75" s="6" t="s">
        <v>123</v>
      </c>
      <c r="Z75" s="6" t="s">
        <v>1125</v>
      </c>
      <c r="AA75" s="6" t="s">
        <v>275</v>
      </c>
      <c r="AB75" s="7" t="s">
        <v>1126</v>
      </c>
      <c r="AD75" s="7" t="s">
        <v>797</v>
      </c>
      <c r="AE75" s="7" t="s">
        <v>1127</v>
      </c>
      <c r="AF75" s="6" t="s">
        <v>1128</v>
      </c>
      <c r="AH75" s="11" t="str">
        <f t="shared" si="8"/>
        <v>https://drive.google.com/file/d/1tBP_RUXwPpCsNZOgW5HSj1O-QBoho_eI/view?usp=drivesdk</v>
      </c>
      <c r="AJ75" s="6" t="s">
        <v>1133</v>
      </c>
      <c r="AK75" s="6" t="s">
        <v>166</v>
      </c>
      <c r="AL75" s="13"/>
    </row>
    <row r="76" ht="22.5" customHeight="1">
      <c r="A76" s="4">
        <v>45838.67687935186</v>
      </c>
      <c r="B76" s="5">
        <v>45835.0</v>
      </c>
      <c r="C76" s="6" t="s">
        <v>1134</v>
      </c>
      <c r="D76" s="6" t="s">
        <v>1135</v>
      </c>
      <c r="E76" s="6" t="s">
        <v>1136</v>
      </c>
      <c r="F76" s="6" t="s">
        <v>1137</v>
      </c>
      <c r="G76" s="6" t="s">
        <v>1138</v>
      </c>
      <c r="H76" s="7" t="s">
        <v>1139</v>
      </c>
      <c r="I76" s="6" t="s">
        <v>1140</v>
      </c>
      <c r="J76" s="6" t="s">
        <v>1141</v>
      </c>
      <c r="K76" s="6" t="s">
        <v>336</v>
      </c>
      <c r="L76" s="7" t="s">
        <v>1142</v>
      </c>
      <c r="M76" s="5">
        <v>45808.0</v>
      </c>
      <c r="N76" s="6" t="s">
        <v>48</v>
      </c>
      <c r="O76" s="6" t="s">
        <v>1143</v>
      </c>
      <c r="P76" s="6" t="s">
        <v>48</v>
      </c>
      <c r="R76" s="6" t="s">
        <v>1144</v>
      </c>
      <c r="S76" s="6" t="s">
        <v>1145</v>
      </c>
      <c r="T76" s="6" t="s">
        <v>887</v>
      </c>
      <c r="U76" s="5">
        <v>43466.0</v>
      </c>
      <c r="V76" s="6" t="s">
        <v>54</v>
      </c>
      <c r="W76" s="6" t="s">
        <v>55</v>
      </c>
      <c r="X76" s="6" t="s">
        <v>102</v>
      </c>
      <c r="Z76" s="6" t="s">
        <v>1146</v>
      </c>
      <c r="AA76" s="6" t="s">
        <v>104</v>
      </c>
      <c r="AB76" s="6">
        <v>3.0</v>
      </c>
      <c r="AD76" s="7" t="s">
        <v>1142</v>
      </c>
      <c r="AE76" s="7" t="s">
        <v>1142</v>
      </c>
      <c r="AH76" s="10" t="str">
        <f>HYPERLINK("https://drive.google.com/file/d/1FvIezrchAeBQ8cXfZUrY5aKGEoo0BpcD/view?usp=drivesdk", "https://drive.google.com/file/d/1FvIezrchAeBQ8cXfZUrY5aKGEoo0BpcD/view?usp=drivesdk")</f>
        <v>https://drive.google.com/file/d/1FvIezrchAeBQ8cXfZUrY5aKGEoo0BpcD/view?usp=drivesdk</v>
      </c>
      <c r="AK76" s="6" t="s">
        <v>166</v>
      </c>
      <c r="AL76" s="13"/>
    </row>
    <row r="77" ht="22.5" customHeight="1">
      <c r="A77" s="4">
        <v>45838.6853290625</v>
      </c>
      <c r="B77" s="5">
        <v>45835.0</v>
      </c>
      <c r="C77" s="6" t="s">
        <v>1147</v>
      </c>
      <c r="D77" s="6" t="s">
        <v>1148</v>
      </c>
      <c r="E77" s="6" t="s">
        <v>1149</v>
      </c>
      <c r="F77" s="6" t="s">
        <v>1150</v>
      </c>
      <c r="G77" s="6" t="s">
        <v>714</v>
      </c>
      <c r="H77" s="7" t="s">
        <v>1151</v>
      </c>
      <c r="I77" s="6" t="s">
        <v>1152</v>
      </c>
      <c r="J77" s="6" t="s">
        <v>1153</v>
      </c>
      <c r="K77" s="6" t="s">
        <v>336</v>
      </c>
      <c r="L77" s="7" t="s">
        <v>1154</v>
      </c>
      <c r="M77" s="5">
        <v>45808.0</v>
      </c>
      <c r="N77" s="6" t="s">
        <v>48</v>
      </c>
      <c r="O77" s="6" t="s">
        <v>1155</v>
      </c>
      <c r="P77" s="6" t="s">
        <v>48</v>
      </c>
      <c r="Q77" s="6" t="s">
        <v>1156</v>
      </c>
      <c r="R77" s="6" t="s">
        <v>1157</v>
      </c>
      <c r="S77" s="6" t="s">
        <v>1158</v>
      </c>
      <c r="T77" s="6" t="s">
        <v>273</v>
      </c>
      <c r="U77" s="5">
        <v>43015.0</v>
      </c>
      <c r="V77" s="6" t="s">
        <v>54</v>
      </c>
      <c r="W77" s="6" t="s">
        <v>77</v>
      </c>
      <c r="X77" s="6" t="s">
        <v>102</v>
      </c>
      <c r="Z77" s="6" t="s">
        <v>1159</v>
      </c>
      <c r="AA77" s="6" t="s">
        <v>1160</v>
      </c>
      <c r="AC77" s="6" t="s">
        <v>1161</v>
      </c>
      <c r="AD77" s="7" t="s">
        <v>1162</v>
      </c>
      <c r="AE77" s="7" t="s">
        <v>1154</v>
      </c>
      <c r="AH77" s="11" t="str">
        <f>HYPERLINK("https://drive.google.com/file/d/1ejYEzzyE7v0xoT0aOh4S81cuFwUQiCJL/view?usp=drivesdk", "https://drive.google.com/file/d/1ejYEzzyE7v0xoT0aOh4S81cuFwUQiCJL/view?usp=drivesdk")</f>
        <v>https://drive.google.com/file/d/1ejYEzzyE7v0xoT0aOh4S81cuFwUQiCJL/view?usp=drivesdk</v>
      </c>
      <c r="AK77" s="6" t="s">
        <v>166</v>
      </c>
      <c r="AL77" s="13"/>
    </row>
    <row r="78" ht="22.5" customHeight="1">
      <c r="A78" s="4">
        <v>45838.68719283565</v>
      </c>
      <c r="B78" s="5">
        <v>45835.0</v>
      </c>
      <c r="C78" s="6" t="s">
        <v>1163</v>
      </c>
      <c r="D78" s="6" t="s">
        <v>1164</v>
      </c>
      <c r="E78" s="6" t="s">
        <v>1165</v>
      </c>
      <c r="F78" s="6" t="s">
        <v>1166</v>
      </c>
      <c r="G78" s="6" t="s">
        <v>377</v>
      </c>
      <c r="H78" s="7" t="s">
        <v>1167</v>
      </c>
      <c r="I78" s="6" t="s">
        <v>1168</v>
      </c>
      <c r="J78" s="6" t="s">
        <v>1169</v>
      </c>
      <c r="K78" s="6" t="s">
        <v>46</v>
      </c>
      <c r="L78" s="7" t="s">
        <v>1170</v>
      </c>
      <c r="M78" s="5">
        <v>45808.0</v>
      </c>
      <c r="N78" s="6" t="s">
        <v>48</v>
      </c>
      <c r="O78" s="6" t="s">
        <v>1171</v>
      </c>
      <c r="P78" s="6" t="s">
        <v>48</v>
      </c>
      <c r="Q78" s="6" t="s">
        <v>1172</v>
      </c>
      <c r="R78" s="6" t="s">
        <v>1173</v>
      </c>
      <c r="S78" s="6" t="s">
        <v>1174</v>
      </c>
      <c r="T78" s="6" t="s">
        <v>340</v>
      </c>
      <c r="U78" s="5">
        <v>42745.0</v>
      </c>
      <c r="V78" s="6" t="s">
        <v>54</v>
      </c>
      <c r="W78" s="6" t="s">
        <v>77</v>
      </c>
      <c r="X78" s="6" t="s">
        <v>102</v>
      </c>
      <c r="Y78" s="6" t="s">
        <v>123</v>
      </c>
      <c r="Z78" s="6" t="s">
        <v>1175</v>
      </c>
      <c r="AA78" s="6" t="s">
        <v>1176</v>
      </c>
      <c r="AB78" s="6">
        <v>13.0</v>
      </c>
      <c r="AD78" s="7" t="s">
        <v>1167</v>
      </c>
      <c r="AE78" s="7" t="s">
        <v>1170</v>
      </c>
      <c r="AH78" s="10" t="str">
        <f>HYPERLINK("https://drive.google.com/file/d/11nWkOYiXUjwqp7tnXwUwg1grdbVxC94h/view?usp=drivesdk", "https://drive.google.com/file/d/11nWkOYiXUjwqp7tnXwUwg1grdbVxC94h/view?usp=drivesdk")</f>
        <v>https://drive.google.com/file/d/11nWkOYiXUjwqp7tnXwUwg1grdbVxC94h/view?usp=drivesdk</v>
      </c>
      <c r="AK78" s="6" t="s">
        <v>61</v>
      </c>
      <c r="AL78" s="13"/>
    </row>
    <row r="79" ht="22.5" customHeight="1">
      <c r="A79" s="4">
        <v>45838.705575115746</v>
      </c>
      <c r="B79" s="5">
        <v>45835.0</v>
      </c>
      <c r="C79" s="6" t="s">
        <v>1177</v>
      </c>
      <c r="D79" s="6" t="s">
        <v>1178</v>
      </c>
      <c r="E79" s="6" t="s">
        <v>847</v>
      </c>
      <c r="F79" s="6" t="s">
        <v>1179</v>
      </c>
      <c r="G79" s="6" t="s">
        <v>849</v>
      </c>
      <c r="H79" s="7" t="s">
        <v>850</v>
      </c>
      <c r="I79" s="6" t="s">
        <v>1180</v>
      </c>
      <c r="J79" s="6" t="s">
        <v>1181</v>
      </c>
      <c r="K79" s="6" t="s">
        <v>336</v>
      </c>
      <c r="L79" s="7" t="s">
        <v>854</v>
      </c>
      <c r="M79" s="5">
        <v>45808.0</v>
      </c>
      <c r="N79" s="6" t="s">
        <v>48</v>
      </c>
      <c r="O79" s="6" t="s">
        <v>1182</v>
      </c>
      <c r="P79" s="6" t="s">
        <v>48</v>
      </c>
      <c r="Q79" s="6" t="s">
        <v>1183</v>
      </c>
      <c r="R79" s="6" t="s">
        <v>1184</v>
      </c>
      <c r="S79" s="6" t="s">
        <v>1184</v>
      </c>
      <c r="T79" s="6" t="s">
        <v>101</v>
      </c>
      <c r="U79" s="5">
        <v>43433.0</v>
      </c>
      <c r="V79" s="6" t="s">
        <v>54</v>
      </c>
      <c r="W79" s="6" t="s">
        <v>55</v>
      </c>
      <c r="X79" s="6" t="s">
        <v>102</v>
      </c>
      <c r="Y79" s="6" t="s">
        <v>78</v>
      </c>
      <c r="Z79" s="6" t="s">
        <v>1185</v>
      </c>
      <c r="AA79" s="6" t="s">
        <v>1186</v>
      </c>
      <c r="AB79" s="6">
        <v>13.0</v>
      </c>
      <c r="AD79" s="7" t="s">
        <v>850</v>
      </c>
      <c r="AE79" s="7" t="s">
        <v>854</v>
      </c>
      <c r="AH79" s="11" t="str">
        <f>HYPERLINK("https://drive.google.com/file/d/1nB9i7OTs3MNBpMeOcgBeanGPbkBW3moV/view?usp=drivesdk", "https://drive.google.com/file/d/1nB9i7OTs3MNBpMeOcgBeanGPbkBW3moV/view?usp=drivesdk")</f>
        <v>https://drive.google.com/file/d/1nB9i7OTs3MNBpMeOcgBeanGPbkBW3moV/view?usp=drivesdk</v>
      </c>
      <c r="AK79" s="6" t="s">
        <v>166</v>
      </c>
      <c r="AL79" s="13"/>
    </row>
    <row r="80" ht="22.5" customHeight="1">
      <c r="A80" s="4">
        <v>45838.73416836806</v>
      </c>
      <c r="B80" s="5">
        <v>45835.0</v>
      </c>
      <c r="C80" s="6" t="s">
        <v>1187</v>
      </c>
      <c r="D80" s="6" t="s">
        <v>1188</v>
      </c>
      <c r="E80" s="6" t="s">
        <v>1189</v>
      </c>
      <c r="F80" s="6" t="s">
        <v>1190</v>
      </c>
      <c r="G80" s="6" t="s">
        <v>332</v>
      </c>
      <c r="H80" s="7" t="s">
        <v>1191</v>
      </c>
      <c r="I80" s="6" t="s">
        <v>1192</v>
      </c>
      <c r="J80" s="6" t="s">
        <v>1193</v>
      </c>
      <c r="K80" s="6" t="s">
        <v>332</v>
      </c>
      <c r="L80" s="7" t="s">
        <v>1194</v>
      </c>
      <c r="M80" s="5">
        <v>45808.0</v>
      </c>
      <c r="N80" s="6" t="s">
        <v>504</v>
      </c>
      <c r="O80" s="6" t="s">
        <v>1195</v>
      </c>
      <c r="P80" s="6" t="s">
        <v>504</v>
      </c>
      <c r="Q80" s="6" t="s">
        <v>1196</v>
      </c>
      <c r="R80" s="6" t="s">
        <v>1197</v>
      </c>
      <c r="S80" s="6" t="s">
        <v>1198</v>
      </c>
      <c r="T80" s="6" t="s">
        <v>1199</v>
      </c>
      <c r="U80" s="5">
        <v>42069.0</v>
      </c>
      <c r="V80" s="6" t="s">
        <v>54</v>
      </c>
      <c r="W80" s="6" t="s">
        <v>77</v>
      </c>
      <c r="X80" s="6" t="s">
        <v>102</v>
      </c>
      <c r="Z80" s="6" t="s">
        <v>1200</v>
      </c>
      <c r="AA80" s="6" t="s">
        <v>370</v>
      </c>
      <c r="AB80" s="6">
        <v>2.0</v>
      </c>
      <c r="AD80" s="7" t="s">
        <v>1194</v>
      </c>
      <c r="AE80" s="7" t="s">
        <v>1201</v>
      </c>
      <c r="AF80" s="6" t="s">
        <v>1202</v>
      </c>
      <c r="AG80" s="6" t="s">
        <v>1203</v>
      </c>
      <c r="AH80" s="10" t="str">
        <f t="shared" ref="AH80:AH81" si="9">HYPERLINK("https://drive.google.com/file/d/19A4sfxdYaVXwmN24HHsNjL3KVKMDCAwL/view?usp=drivesdk", "https://drive.google.com/file/d/19A4sfxdYaVXwmN24HHsNjL3KVKMDCAwL/view?usp=drivesdk")</f>
        <v>https://drive.google.com/file/d/19A4sfxdYaVXwmN24HHsNjL3KVKMDCAwL/view?usp=drivesdk</v>
      </c>
      <c r="AK80" s="6" t="s">
        <v>1204</v>
      </c>
      <c r="AL80" s="13"/>
    </row>
    <row r="81" ht="22.5" customHeight="1">
      <c r="A81" s="4">
        <v>45838.7389169213</v>
      </c>
      <c r="B81" s="5">
        <v>45835.0</v>
      </c>
      <c r="C81" s="6" t="s">
        <v>1187</v>
      </c>
      <c r="D81" s="6" t="s">
        <v>1205</v>
      </c>
      <c r="E81" s="6" t="s">
        <v>1189</v>
      </c>
      <c r="F81" s="6" t="s">
        <v>1190</v>
      </c>
      <c r="G81" s="6" t="s">
        <v>332</v>
      </c>
      <c r="H81" s="7" t="s">
        <v>1191</v>
      </c>
      <c r="I81" s="6" t="s">
        <v>1192</v>
      </c>
      <c r="J81" s="6" t="s">
        <v>1206</v>
      </c>
      <c r="K81" s="6" t="s">
        <v>332</v>
      </c>
      <c r="L81" s="7" t="s">
        <v>1194</v>
      </c>
      <c r="M81" s="5">
        <v>45808.0</v>
      </c>
      <c r="N81" s="6" t="s">
        <v>48</v>
      </c>
      <c r="O81" s="6" t="s">
        <v>1195</v>
      </c>
      <c r="P81" s="6" t="s">
        <v>48</v>
      </c>
      <c r="Q81" s="6" t="s">
        <v>1196</v>
      </c>
      <c r="R81" s="6" t="s">
        <v>1207</v>
      </c>
      <c r="S81" s="6" t="s">
        <v>1208</v>
      </c>
      <c r="T81" s="6" t="s">
        <v>1199</v>
      </c>
      <c r="U81" s="5">
        <v>42069.0</v>
      </c>
      <c r="V81" s="6" t="s">
        <v>54</v>
      </c>
      <c r="W81" s="6" t="s">
        <v>77</v>
      </c>
      <c r="X81" s="6" t="s">
        <v>102</v>
      </c>
      <c r="Y81" s="6" t="s">
        <v>123</v>
      </c>
      <c r="Z81" s="6" t="s">
        <v>1209</v>
      </c>
      <c r="AA81" s="6" t="s">
        <v>370</v>
      </c>
      <c r="AB81" s="6">
        <v>2.0</v>
      </c>
      <c r="AD81" s="7" t="s">
        <v>1191</v>
      </c>
      <c r="AE81" s="7" t="s">
        <v>1191</v>
      </c>
      <c r="AF81" s="6" t="s">
        <v>1202</v>
      </c>
      <c r="AG81" s="6" t="s">
        <v>1203</v>
      </c>
      <c r="AH81" s="11" t="str">
        <f t="shared" si="9"/>
        <v>https://drive.google.com/file/d/19A4sfxdYaVXwmN24HHsNjL3KVKMDCAwL/view?usp=drivesdk</v>
      </c>
      <c r="AK81" s="6" t="s">
        <v>1204</v>
      </c>
      <c r="AL81" s="13"/>
    </row>
    <row r="82" ht="22.5" customHeight="1">
      <c r="A82" s="4">
        <v>45838.75873284722</v>
      </c>
      <c r="B82" s="5">
        <v>45835.0</v>
      </c>
      <c r="C82" s="6" t="s">
        <v>1210</v>
      </c>
      <c r="D82" s="6" t="s">
        <v>1211</v>
      </c>
      <c r="E82" s="6" t="s">
        <v>1212</v>
      </c>
      <c r="F82" s="6" t="s">
        <v>1213</v>
      </c>
      <c r="G82" s="6" t="s">
        <v>1214</v>
      </c>
      <c r="H82" s="7" t="s">
        <v>1215</v>
      </c>
      <c r="I82" s="6" t="s">
        <v>1216</v>
      </c>
      <c r="J82" s="6" t="s">
        <v>1217</v>
      </c>
      <c r="K82" s="6" t="s">
        <v>336</v>
      </c>
      <c r="L82" s="7" t="s">
        <v>1218</v>
      </c>
      <c r="M82" s="5">
        <v>45808.0</v>
      </c>
      <c r="N82" s="6" t="s">
        <v>48</v>
      </c>
      <c r="O82" s="6" t="s">
        <v>1219</v>
      </c>
      <c r="P82" s="6" t="s">
        <v>48</v>
      </c>
      <c r="Q82" s="6" t="s">
        <v>1220</v>
      </c>
      <c r="R82" s="6" t="s">
        <v>1221</v>
      </c>
      <c r="S82" s="6" t="s">
        <v>1222</v>
      </c>
      <c r="T82" s="6" t="s">
        <v>991</v>
      </c>
      <c r="U82" s="5">
        <v>42030.0</v>
      </c>
      <c r="V82" s="6" t="s">
        <v>54</v>
      </c>
      <c r="W82" s="6" t="s">
        <v>55</v>
      </c>
      <c r="X82" s="6" t="s">
        <v>102</v>
      </c>
      <c r="Y82" s="6" t="s">
        <v>78</v>
      </c>
      <c r="Z82" s="6" t="s">
        <v>1223</v>
      </c>
      <c r="AA82" s="6" t="s">
        <v>1224</v>
      </c>
      <c r="AB82" s="6">
        <v>45037.0</v>
      </c>
      <c r="AC82" s="6" t="s">
        <v>1225</v>
      </c>
      <c r="AD82" s="7" t="s">
        <v>1215</v>
      </c>
      <c r="AE82" s="7" t="s">
        <v>1215</v>
      </c>
      <c r="AG82" s="6" t="s">
        <v>1213</v>
      </c>
      <c r="AH82" s="10" t="str">
        <f>HYPERLINK("https://drive.google.com/file/d/1CRZbv6W7UGNYSfbAkdZDXLmmY4ZMZn1v/view?usp=drivesdk", "https://drive.google.com/file/d/1CRZbv6W7UGNYSfbAkdZDXLmmY4ZMZn1v/view?usp=drivesdk")</f>
        <v>https://drive.google.com/file/d/1CRZbv6W7UGNYSfbAkdZDXLmmY4ZMZn1v/view?usp=drivesdk</v>
      </c>
      <c r="AJ82" s="6" t="s">
        <v>1226</v>
      </c>
      <c r="AK82" s="6" t="s">
        <v>1227</v>
      </c>
      <c r="AL82" s="13"/>
    </row>
    <row r="83" ht="22.5" customHeight="1">
      <c r="A83" s="4">
        <v>45838.76505920139</v>
      </c>
      <c r="B83" s="5">
        <v>45835.0</v>
      </c>
      <c r="C83" s="6" t="s">
        <v>1228</v>
      </c>
      <c r="D83" s="6" t="s">
        <v>1229</v>
      </c>
      <c r="E83" s="6" t="s">
        <v>1230</v>
      </c>
      <c r="F83" s="6" t="s">
        <v>1231</v>
      </c>
      <c r="G83" s="6" t="s">
        <v>332</v>
      </c>
      <c r="H83" s="7" t="s">
        <v>1232</v>
      </c>
      <c r="I83" s="6" t="s">
        <v>1233</v>
      </c>
      <c r="J83" s="6" t="s">
        <v>1234</v>
      </c>
      <c r="K83" s="6" t="s">
        <v>332</v>
      </c>
      <c r="L83" s="7" t="s">
        <v>1235</v>
      </c>
      <c r="M83" s="5">
        <v>45808.0</v>
      </c>
      <c r="N83" s="6" t="s">
        <v>504</v>
      </c>
      <c r="O83" s="6" t="s">
        <v>1236</v>
      </c>
      <c r="P83" s="6" t="s">
        <v>504</v>
      </c>
      <c r="Q83" s="6" t="s">
        <v>1237</v>
      </c>
      <c r="R83" s="6" t="s">
        <v>1238</v>
      </c>
      <c r="S83" s="6" t="s">
        <v>1238</v>
      </c>
      <c r="T83" s="6" t="s">
        <v>101</v>
      </c>
      <c r="U83" s="5">
        <v>43030.0</v>
      </c>
      <c r="V83" s="6" t="s">
        <v>54</v>
      </c>
      <c r="W83" s="6" t="s">
        <v>77</v>
      </c>
      <c r="X83" s="6" t="s">
        <v>102</v>
      </c>
      <c r="Y83" s="6" t="s">
        <v>160</v>
      </c>
      <c r="Z83" s="6" t="s">
        <v>1239</v>
      </c>
      <c r="AA83" s="6" t="s">
        <v>820</v>
      </c>
      <c r="AB83" s="6" t="s">
        <v>1240</v>
      </c>
      <c r="AD83" s="7" t="s">
        <v>1241</v>
      </c>
      <c r="AE83" s="7" t="s">
        <v>1241</v>
      </c>
      <c r="AF83" s="6" t="s">
        <v>1242</v>
      </c>
      <c r="AG83" s="6" t="s">
        <v>1243</v>
      </c>
      <c r="AH83" s="11" t="str">
        <f t="shared" ref="AH83:AH84" si="10">HYPERLINK("https://drive.google.com/file/d/158LjDzn9D3XONKYzkNQSohVL1G7lot2p/view?usp=drivesdk", "https://drive.google.com/file/d/158LjDzn9D3XONKYzkNQSohVL1G7lot2p/view?usp=drivesdk")</f>
        <v>https://drive.google.com/file/d/158LjDzn9D3XONKYzkNQSohVL1G7lot2p/view?usp=drivesdk</v>
      </c>
      <c r="AJ83" s="6" t="s">
        <v>1244</v>
      </c>
      <c r="AK83" s="6" t="s">
        <v>166</v>
      </c>
      <c r="AL83" s="13"/>
    </row>
    <row r="84" ht="22.5" customHeight="1">
      <c r="A84" s="4">
        <v>45838.76505920139</v>
      </c>
      <c r="B84" s="5">
        <v>45835.0</v>
      </c>
      <c r="C84" s="6" t="s">
        <v>1228</v>
      </c>
      <c r="D84" s="6" t="s">
        <v>1229</v>
      </c>
      <c r="E84" s="6" t="s">
        <v>1230</v>
      </c>
      <c r="F84" s="6" t="s">
        <v>1231</v>
      </c>
      <c r="G84" s="6" t="s">
        <v>332</v>
      </c>
      <c r="H84" s="7" t="s">
        <v>1232</v>
      </c>
      <c r="I84" s="6" t="s">
        <v>1233</v>
      </c>
      <c r="J84" s="6" t="s">
        <v>1234</v>
      </c>
      <c r="K84" s="6" t="s">
        <v>332</v>
      </c>
      <c r="L84" s="7" t="s">
        <v>1235</v>
      </c>
      <c r="M84" s="5">
        <v>45808.0</v>
      </c>
      <c r="N84" s="6" t="s">
        <v>48</v>
      </c>
      <c r="O84" s="6" t="s">
        <v>1236</v>
      </c>
      <c r="P84" s="6" t="s">
        <v>504</v>
      </c>
      <c r="Q84" s="6" t="s">
        <v>1237</v>
      </c>
      <c r="R84" s="6" t="s">
        <v>1238</v>
      </c>
      <c r="S84" s="6" t="s">
        <v>1238</v>
      </c>
      <c r="T84" s="6" t="s">
        <v>101</v>
      </c>
      <c r="U84" s="5">
        <v>43030.0</v>
      </c>
      <c r="V84" s="6" t="s">
        <v>54</v>
      </c>
      <c r="W84" s="6" t="s">
        <v>77</v>
      </c>
      <c r="X84" s="6" t="s">
        <v>102</v>
      </c>
      <c r="Y84" s="6" t="s">
        <v>160</v>
      </c>
      <c r="Z84" s="6" t="s">
        <v>1239</v>
      </c>
      <c r="AA84" s="6" t="s">
        <v>820</v>
      </c>
      <c r="AB84" s="6" t="s">
        <v>1240</v>
      </c>
      <c r="AD84" s="7" t="s">
        <v>1241</v>
      </c>
      <c r="AE84" s="7" t="s">
        <v>1241</v>
      </c>
      <c r="AF84" s="6" t="s">
        <v>1242</v>
      </c>
      <c r="AG84" s="6" t="s">
        <v>1243</v>
      </c>
      <c r="AH84" s="10" t="str">
        <f t="shared" si="10"/>
        <v>https://drive.google.com/file/d/158LjDzn9D3XONKYzkNQSohVL1G7lot2p/view?usp=drivesdk</v>
      </c>
      <c r="AJ84" s="6" t="s">
        <v>1133</v>
      </c>
      <c r="AK84" s="6" t="s">
        <v>166</v>
      </c>
      <c r="AL84" s="13"/>
    </row>
    <row r="85" ht="22.5" customHeight="1">
      <c r="A85" s="4">
        <v>45838.76518930556</v>
      </c>
      <c r="B85" s="5">
        <v>45835.0</v>
      </c>
      <c r="C85" s="6" t="s">
        <v>1245</v>
      </c>
      <c r="D85" s="6" t="s">
        <v>1246</v>
      </c>
      <c r="E85" s="6" t="s">
        <v>1247</v>
      </c>
      <c r="F85" s="6" t="s">
        <v>1248</v>
      </c>
      <c r="G85" s="6" t="s">
        <v>332</v>
      </c>
      <c r="H85" s="7" t="s">
        <v>1249</v>
      </c>
      <c r="I85" s="6" t="s">
        <v>1250</v>
      </c>
      <c r="J85" s="6" t="s">
        <v>1251</v>
      </c>
      <c r="K85" s="6" t="s">
        <v>336</v>
      </c>
      <c r="L85" s="7" t="s">
        <v>1249</v>
      </c>
      <c r="M85" s="5">
        <v>45808.0</v>
      </c>
      <c r="N85" s="6" t="s">
        <v>48</v>
      </c>
      <c r="O85" s="6" t="s">
        <v>1252</v>
      </c>
      <c r="P85" s="6" t="s">
        <v>48</v>
      </c>
      <c r="Q85" s="6" t="s">
        <v>1253</v>
      </c>
      <c r="R85" s="6" t="s">
        <v>1254</v>
      </c>
      <c r="S85" s="6" t="s">
        <v>1255</v>
      </c>
      <c r="T85" s="6" t="s">
        <v>1256</v>
      </c>
      <c r="U85" s="5">
        <v>43182.0</v>
      </c>
      <c r="V85" s="6" t="s">
        <v>54</v>
      </c>
      <c r="W85" s="6" t="s">
        <v>77</v>
      </c>
      <c r="X85" s="6" t="s">
        <v>102</v>
      </c>
      <c r="Y85" s="6" t="s">
        <v>160</v>
      </c>
      <c r="Z85" s="6" t="s">
        <v>1257</v>
      </c>
      <c r="AA85" s="6" t="s">
        <v>820</v>
      </c>
      <c r="AB85" s="6">
        <v>3.0</v>
      </c>
      <c r="AD85" s="7" t="s">
        <v>1249</v>
      </c>
      <c r="AE85" s="7" t="s">
        <v>1249</v>
      </c>
      <c r="AG85" s="6" t="s">
        <v>1248</v>
      </c>
      <c r="AH85" s="11" t="str">
        <f>HYPERLINK("https://drive.google.com/file/d/1-PzKhj5z3GKJiMiWR5Wc5M7hWUxOTJBP/view?usp=drivesdk", "https://drive.google.com/file/d/1-PzKhj5z3GKJiMiWR5Wc5M7hWUxOTJBP/view?usp=drivesdk")</f>
        <v>https://drive.google.com/file/d/1-PzKhj5z3GKJiMiWR5Wc5M7hWUxOTJBP/view?usp=drivesdk</v>
      </c>
      <c r="AK85" s="6" t="s">
        <v>1204</v>
      </c>
      <c r="AL85" s="13"/>
    </row>
    <row r="86" ht="22.5" customHeight="1">
      <c r="A86" s="4">
        <v>45838.77187568287</v>
      </c>
      <c r="B86" s="5">
        <v>45835.0</v>
      </c>
      <c r="C86" s="6" t="s">
        <v>1258</v>
      </c>
      <c r="D86" s="6" t="s">
        <v>1259</v>
      </c>
      <c r="E86" s="6" t="s">
        <v>1260</v>
      </c>
      <c r="F86" s="6" t="s">
        <v>1261</v>
      </c>
      <c r="G86" s="6" t="s">
        <v>248</v>
      </c>
      <c r="H86" s="7" t="s">
        <v>1262</v>
      </c>
      <c r="I86" s="6" t="s">
        <v>1263</v>
      </c>
      <c r="J86" s="6" t="s">
        <v>1264</v>
      </c>
      <c r="K86" s="6" t="s">
        <v>46</v>
      </c>
      <c r="L86" s="7" t="s">
        <v>1265</v>
      </c>
      <c r="M86" s="5">
        <v>45808.0</v>
      </c>
      <c r="N86" s="6" t="s">
        <v>48</v>
      </c>
      <c r="O86" s="6" t="s">
        <v>1266</v>
      </c>
      <c r="P86" s="6" t="s">
        <v>48</v>
      </c>
      <c r="Q86" s="6" t="s">
        <v>1267</v>
      </c>
      <c r="R86" s="6" t="s">
        <v>1268</v>
      </c>
      <c r="S86" s="6" t="s">
        <v>1269</v>
      </c>
      <c r="T86" s="6" t="s">
        <v>53</v>
      </c>
      <c r="U86" s="5">
        <v>42735.0</v>
      </c>
      <c r="V86" s="6" t="s">
        <v>54</v>
      </c>
      <c r="W86" s="6" t="s">
        <v>55</v>
      </c>
      <c r="X86" s="6" t="s">
        <v>102</v>
      </c>
      <c r="Y86" s="6" t="s">
        <v>160</v>
      </c>
      <c r="Z86" s="6" t="s">
        <v>1270</v>
      </c>
      <c r="AA86" s="6" t="s">
        <v>370</v>
      </c>
      <c r="AB86" s="6">
        <v>2.0</v>
      </c>
      <c r="AC86" s="6" t="s">
        <v>1271</v>
      </c>
      <c r="AD86" s="7" t="s">
        <v>1262</v>
      </c>
      <c r="AE86" s="7" t="s">
        <v>1265</v>
      </c>
      <c r="AF86" s="6" t="s">
        <v>1272</v>
      </c>
      <c r="AH86" s="10" t="str">
        <f>HYPERLINK("https://drive.google.com/file/d/1ZK3a_v4tfFm9Ezm-ww0vsvW7GWilw63C/view?usp=drivesdk", "https://drive.google.com/file/d/1ZK3a_v4tfFm9Ezm-ww0vsvW7GWilw63C/view?usp=drivesdk")</f>
        <v>https://drive.google.com/file/d/1ZK3a_v4tfFm9Ezm-ww0vsvW7GWilw63C/view?usp=drivesdk</v>
      </c>
      <c r="AK86" s="6" t="s">
        <v>1204</v>
      </c>
      <c r="AL86" s="13"/>
    </row>
    <row r="87" ht="22.5" customHeight="1">
      <c r="A87" s="4">
        <v>45838.780035821765</v>
      </c>
      <c r="B87" s="5">
        <v>45834.0</v>
      </c>
      <c r="C87" s="6" t="s">
        <v>1273</v>
      </c>
      <c r="D87" s="6" t="s">
        <v>1274</v>
      </c>
      <c r="E87" s="6" t="s">
        <v>1275</v>
      </c>
      <c r="F87" s="6" t="s">
        <v>1276</v>
      </c>
      <c r="G87" s="6" t="s">
        <v>150</v>
      </c>
      <c r="H87" s="7" t="s">
        <v>1277</v>
      </c>
      <c r="I87" s="6" t="s">
        <v>1278</v>
      </c>
      <c r="J87" s="6" t="s">
        <v>1279</v>
      </c>
      <c r="K87" s="6" t="s">
        <v>336</v>
      </c>
      <c r="L87" s="7" t="s">
        <v>1280</v>
      </c>
      <c r="M87" s="5">
        <v>45808.0</v>
      </c>
      <c r="N87" s="6" t="s">
        <v>504</v>
      </c>
      <c r="O87" s="6" t="s">
        <v>1281</v>
      </c>
      <c r="P87" s="6" t="s">
        <v>504</v>
      </c>
      <c r="Q87" s="6" t="s">
        <v>1282</v>
      </c>
      <c r="R87" s="6" t="s">
        <v>1283</v>
      </c>
      <c r="S87" s="6" t="s">
        <v>1284</v>
      </c>
      <c r="T87" s="6" t="s">
        <v>273</v>
      </c>
      <c r="U87" s="5">
        <v>42978.0</v>
      </c>
      <c r="V87" s="6" t="s">
        <v>54</v>
      </c>
      <c r="W87" s="6" t="s">
        <v>55</v>
      </c>
      <c r="X87" s="6" t="s">
        <v>102</v>
      </c>
      <c r="Y87" s="6" t="s">
        <v>160</v>
      </c>
      <c r="Z87" s="6" t="s">
        <v>1285</v>
      </c>
      <c r="AA87" s="6" t="s">
        <v>820</v>
      </c>
      <c r="AB87" s="6">
        <v>16.0</v>
      </c>
      <c r="AC87" s="6" t="s">
        <v>1286</v>
      </c>
      <c r="AD87" s="7" t="s">
        <v>1277</v>
      </c>
      <c r="AE87" s="7" t="s">
        <v>1280</v>
      </c>
      <c r="AF87" s="6" t="s">
        <v>1287</v>
      </c>
      <c r="AG87" s="6" t="s">
        <v>1288</v>
      </c>
      <c r="AH87" s="11" t="str">
        <f>HYPERLINK("https://drive.google.com/file/d/1OOFv2rWuM6lvo84MFycgo-7rvo1cH47H/view?usp=drivesdk", "https://drive.google.com/file/d/1OOFv2rWuM6lvo84MFycgo-7rvo1cH47H/view?usp=drivesdk")</f>
        <v>https://drive.google.com/file/d/1OOFv2rWuM6lvo84MFycgo-7rvo1cH47H/view?usp=drivesdk</v>
      </c>
      <c r="AK87" s="6" t="s">
        <v>1204</v>
      </c>
      <c r="AL87" s="13"/>
    </row>
    <row r="88" ht="22.5" customHeight="1">
      <c r="A88" s="4">
        <v>45838.79250390046</v>
      </c>
      <c r="B88" s="5">
        <v>45835.0</v>
      </c>
      <c r="C88" s="6" t="s">
        <v>1289</v>
      </c>
      <c r="D88" s="6" t="s">
        <v>1290</v>
      </c>
      <c r="E88" s="6" t="s">
        <v>1291</v>
      </c>
      <c r="F88" s="6" t="s">
        <v>1292</v>
      </c>
      <c r="G88" s="6" t="s">
        <v>1293</v>
      </c>
      <c r="H88" s="7" t="s">
        <v>1294</v>
      </c>
      <c r="I88" s="6" t="s">
        <v>1295</v>
      </c>
      <c r="J88" s="6" t="s">
        <v>1296</v>
      </c>
      <c r="K88" s="6" t="s">
        <v>46</v>
      </c>
      <c r="L88" s="7" t="s">
        <v>1297</v>
      </c>
      <c r="M88" s="5">
        <v>45808.0</v>
      </c>
      <c r="N88" s="6" t="s">
        <v>48</v>
      </c>
      <c r="O88" s="6" t="s">
        <v>1298</v>
      </c>
      <c r="P88" s="6" t="s">
        <v>48</v>
      </c>
      <c r="R88" s="6" t="s">
        <v>1299</v>
      </c>
      <c r="S88" s="6" t="s">
        <v>1300</v>
      </c>
      <c r="T88" s="6" t="s">
        <v>818</v>
      </c>
      <c r="U88" s="5">
        <v>43482.0</v>
      </c>
      <c r="V88" s="6" t="s">
        <v>54</v>
      </c>
      <c r="W88" s="6" t="s">
        <v>77</v>
      </c>
      <c r="X88" s="6" t="s">
        <v>102</v>
      </c>
      <c r="Y88" s="6" t="s">
        <v>78</v>
      </c>
      <c r="Z88" s="6" t="s">
        <v>1301</v>
      </c>
      <c r="AA88" s="6" t="s">
        <v>947</v>
      </c>
      <c r="AD88" s="7" t="s">
        <v>1294</v>
      </c>
      <c r="AE88" s="7" t="s">
        <v>1302</v>
      </c>
      <c r="AF88" s="6" t="s">
        <v>1303</v>
      </c>
      <c r="AG88" s="6" t="s">
        <v>1304</v>
      </c>
      <c r="AH88" s="10" t="str">
        <f>HYPERLINK("https://drive.google.com/file/d/1gOjzhS75SoRSieqg6QtH4Z-jvP_Pu8Hs/view?usp=drivesdk", "https://drive.google.com/file/d/1gOjzhS75SoRSieqg6QtH4Z-jvP_Pu8Hs/view?usp=drivesdk")</f>
        <v>https://drive.google.com/file/d/1gOjzhS75SoRSieqg6QtH4Z-jvP_Pu8Hs/view?usp=drivesdk</v>
      </c>
      <c r="AJ88" s="6" t="s">
        <v>1305</v>
      </c>
      <c r="AK88" s="6" t="s">
        <v>61</v>
      </c>
      <c r="AL88" s="13"/>
    </row>
    <row r="89" ht="22.5" customHeight="1">
      <c r="A89" s="4">
        <v>45838.793498240746</v>
      </c>
      <c r="B89" s="5">
        <v>45835.0</v>
      </c>
      <c r="C89" s="6" t="s">
        <v>1306</v>
      </c>
      <c r="D89" s="6" t="s">
        <v>1307</v>
      </c>
      <c r="E89" s="6" t="s">
        <v>1308</v>
      </c>
      <c r="F89" s="6" t="s">
        <v>1309</v>
      </c>
      <c r="G89" s="6" t="s">
        <v>332</v>
      </c>
      <c r="H89" s="7" t="s">
        <v>1310</v>
      </c>
      <c r="I89" s="6" t="s">
        <v>1311</v>
      </c>
      <c r="J89" s="6" t="s">
        <v>1312</v>
      </c>
      <c r="K89" s="6" t="s">
        <v>336</v>
      </c>
      <c r="L89" s="7" t="s">
        <v>1313</v>
      </c>
      <c r="M89" s="5">
        <v>45808.0</v>
      </c>
      <c r="N89" s="6" t="s">
        <v>71</v>
      </c>
      <c r="O89" s="6" t="s">
        <v>1314</v>
      </c>
      <c r="P89" s="6" t="s">
        <v>71</v>
      </c>
      <c r="R89" s="6" t="s">
        <v>1315</v>
      </c>
      <c r="S89" s="6" t="s">
        <v>687</v>
      </c>
      <c r="T89" s="6" t="s">
        <v>101</v>
      </c>
      <c r="U89" s="5">
        <v>43605.0</v>
      </c>
      <c r="V89" s="6" t="s">
        <v>54</v>
      </c>
      <c r="W89" s="6" t="s">
        <v>77</v>
      </c>
      <c r="X89" s="6" t="s">
        <v>102</v>
      </c>
      <c r="Y89" s="6" t="s">
        <v>123</v>
      </c>
      <c r="Z89" s="6" t="s">
        <v>1316</v>
      </c>
      <c r="AA89" s="6" t="s">
        <v>104</v>
      </c>
      <c r="AB89" s="6">
        <v>14.0</v>
      </c>
      <c r="AD89" s="7" t="s">
        <v>1310</v>
      </c>
      <c r="AE89" s="7" t="s">
        <v>1310</v>
      </c>
      <c r="AF89" s="6" t="s">
        <v>1317</v>
      </c>
      <c r="AH89" s="11" t="str">
        <f>HYPERLINK("https://drive.google.com/file/d/1Ec7NPEtb0jIoRVfeklMH9dnlfSwJstsH/view?usp=drivesdk", "https://drive.google.com/file/d/1Ec7NPEtb0jIoRVfeklMH9dnlfSwJstsH/view?usp=drivesdk")</f>
        <v>https://drive.google.com/file/d/1Ec7NPEtb0jIoRVfeklMH9dnlfSwJstsH/view?usp=drivesdk</v>
      </c>
      <c r="AJ89" s="6" t="s">
        <v>1318</v>
      </c>
      <c r="AK89" s="6" t="s">
        <v>1204</v>
      </c>
      <c r="AL89" s="13"/>
    </row>
    <row r="90" ht="22.5" customHeight="1">
      <c r="A90" s="4">
        <v>45838.80856701389</v>
      </c>
      <c r="B90" s="5">
        <v>45835.0</v>
      </c>
      <c r="C90" s="6" t="s">
        <v>1319</v>
      </c>
      <c r="D90" s="6" t="s">
        <v>1320</v>
      </c>
      <c r="E90" s="6" t="s">
        <v>1321</v>
      </c>
      <c r="F90" s="6" t="s">
        <v>1322</v>
      </c>
      <c r="G90" s="6" t="s">
        <v>1323</v>
      </c>
      <c r="H90" s="7" t="s">
        <v>1324</v>
      </c>
      <c r="I90" s="6" t="s">
        <v>1325</v>
      </c>
      <c r="J90" s="6" t="s">
        <v>1326</v>
      </c>
      <c r="K90" s="6" t="s">
        <v>1327</v>
      </c>
      <c r="L90" s="7" t="s">
        <v>1328</v>
      </c>
      <c r="M90" s="5">
        <v>45808.0</v>
      </c>
      <c r="N90" s="6" t="s">
        <v>176</v>
      </c>
      <c r="O90" s="6" t="s">
        <v>1329</v>
      </c>
      <c r="P90" s="6" t="s">
        <v>176</v>
      </c>
      <c r="Q90" s="6" t="s">
        <v>1330</v>
      </c>
      <c r="R90" s="6" t="s">
        <v>1331</v>
      </c>
      <c r="S90" s="6" t="s">
        <v>1332</v>
      </c>
      <c r="T90" s="6" t="s">
        <v>1333</v>
      </c>
      <c r="U90" s="5">
        <v>41736.0</v>
      </c>
      <c r="V90" s="6" t="s">
        <v>54</v>
      </c>
      <c r="W90" s="6" t="s">
        <v>77</v>
      </c>
      <c r="X90" s="6" t="s">
        <v>102</v>
      </c>
      <c r="Y90" s="6" t="s">
        <v>78</v>
      </c>
      <c r="Z90" s="6" t="s">
        <v>1334</v>
      </c>
      <c r="AA90" s="6" t="s">
        <v>370</v>
      </c>
      <c r="AB90" s="6">
        <v>33.0</v>
      </c>
      <c r="AD90" s="7" t="s">
        <v>1324</v>
      </c>
      <c r="AE90" s="7" t="s">
        <v>1324</v>
      </c>
      <c r="AF90" s="6" t="s">
        <v>1335</v>
      </c>
      <c r="AG90" s="6" t="s">
        <v>1336</v>
      </c>
      <c r="AH90" s="10" t="str">
        <f>HYPERLINK("https://drive.google.com/file/d/1GWu6H40WytN9KHlX0hODXT-9MSKeK9h2/view?usp=drivesdk", "https://drive.google.com/file/d/1GWu6H40WytN9KHlX0hODXT-9MSKeK9h2/view?usp=drivesdk")</f>
        <v>https://drive.google.com/file/d/1GWu6H40WytN9KHlX0hODXT-9MSKeK9h2/view?usp=drivesdk</v>
      </c>
      <c r="AK90" s="6" t="s">
        <v>1204</v>
      </c>
      <c r="AL90" s="13"/>
    </row>
    <row r="91" ht="22.5" customHeight="1">
      <c r="A91" s="4">
        <v>45838.81364337963</v>
      </c>
      <c r="B91" s="5">
        <v>45834.0</v>
      </c>
      <c r="C91" s="6" t="s">
        <v>1337</v>
      </c>
      <c r="D91" s="6" t="s">
        <v>1338</v>
      </c>
      <c r="E91" s="6" t="s">
        <v>1339</v>
      </c>
      <c r="F91" s="6" t="s">
        <v>1340</v>
      </c>
      <c r="G91" s="6" t="s">
        <v>150</v>
      </c>
      <c r="H91" s="7" t="s">
        <v>1341</v>
      </c>
      <c r="I91" s="6" t="s">
        <v>1342</v>
      </c>
      <c r="J91" s="6" t="s">
        <v>1343</v>
      </c>
      <c r="K91" s="6" t="s">
        <v>336</v>
      </c>
      <c r="L91" s="7" t="s">
        <v>1344</v>
      </c>
      <c r="M91" s="5">
        <v>45808.0</v>
      </c>
      <c r="N91" s="6" t="s">
        <v>48</v>
      </c>
      <c r="O91" s="6" t="s">
        <v>1345</v>
      </c>
      <c r="P91" s="6" t="s">
        <v>48</v>
      </c>
      <c r="Q91" s="6" t="s">
        <v>1346</v>
      </c>
      <c r="R91" s="6" t="s">
        <v>1347</v>
      </c>
      <c r="S91" s="6" t="s">
        <v>1348</v>
      </c>
      <c r="T91" s="6" t="s">
        <v>802</v>
      </c>
      <c r="U91" s="5">
        <v>43009.0</v>
      </c>
      <c r="V91" s="6" t="s">
        <v>54</v>
      </c>
      <c r="W91" s="6" t="s">
        <v>77</v>
      </c>
      <c r="X91" s="6" t="s">
        <v>102</v>
      </c>
      <c r="Z91" s="6" t="s">
        <v>1349</v>
      </c>
      <c r="AA91" s="6" t="s">
        <v>1350</v>
      </c>
      <c r="AB91" s="6">
        <v>29.0</v>
      </c>
      <c r="AC91" s="6" t="s">
        <v>1351</v>
      </c>
      <c r="AD91" s="7" t="s">
        <v>1341</v>
      </c>
      <c r="AE91" s="7" t="s">
        <v>1352</v>
      </c>
      <c r="AH91" s="11" t="str">
        <f>HYPERLINK("https://drive.google.com/file/d/1Rwq55WCFWA4hhIvITu577MH9_f8Xu3my/view?usp=drivesdk", "https://drive.google.com/file/d/1Rwq55WCFWA4hhIvITu577MH9_f8Xu3my/view?usp=drivesdk")</f>
        <v>https://drive.google.com/file/d/1Rwq55WCFWA4hhIvITu577MH9_f8Xu3my/view?usp=drivesdk</v>
      </c>
      <c r="AJ91" s="6" t="s">
        <v>372</v>
      </c>
      <c r="AK91" s="6" t="s">
        <v>1204</v>
      </c>
      <c r="AL91" s="13"/>
    </row>
    <row r="92" ht="22.5" customHeight="1">
      <c r="A92" s="4">
        <v>45838.81452068287</v>
      </c>
      <c r="B92" s="5">
        <v>45835.0</v>
      </c>
      <c r="C92" s="6" t="s">
        <v>1353</v>
      </c>
      <c r="D92" s="6" t="s">
        <v>1354</v>
      </c>
      <c r="E92" s="6" t="s">
        <v>1355</v>
      </c>
      <c r="F92" s="6" t="s">
        <v>1356</v>
      </c>
      <c r="G92" s="6" t="s">
        <v>971</v>
      </c>
      <c r="H92" s="7" t="s">
        <v>1357</v>
      </c>
      <c r="I92" s="6" t="s">
        <v>1358</v>
      </c>
      <c r="J92" s="6" t="s">
        <v>1359</v>
      </c>
      <c r="K92" s="6" t="s">
        <v>336</v>
      </c>
      <c r="L92" s="7" t="s">
        <v>1360</v>
      </c>
      <c r="M92" s="5">
        <v>45808.0</v>
      </c>
      <c r="N92" s="6" t="s">
        <v>48</v>
      </c>
      <c r="O92" s="6" t="s">
        <v>1361</v>
      </c>
      <c r="P92" s="6" t="s">
        <v>48</v>
      </c>
      <c r="Q92" s="6" t="s">
        <v>1362</v>
      </c>
      <c r="R92" s="6" t="s">
        <v>1363</v>
      </c>
      <c r="S92" s="6" t="s">
        <v>1364</v>
      </c>
      <c r="T92" s="6" t="s">
        <v>637</v>
      </c>
      <c r="U92" s="5">
        <v>44271.0</v>
      </c>
      <c r="V92" s="6" t="s">
        <v>54</v>
      </c>
      <c r="W92" s="6" t="s">
        <v>77</v>
      </c>
      <c r="X92" s="6" t="s">
        <v>102</v>
      </c>
      <c r="Z92" s="6" t="s">
        <v>1365</v>
      </c>
      <c r="AA92" s="6" t="s">
        <v>162</v>
      </c>
      <c r="AD92" s="7" t="s">
        <v>1357</v>
      </c>
      <c r="AE92" s="7" t="s">
        <v>1357</v>
      </c>
      <c r="AF92" s="6" t="s">
        <v>1366</v>
      </c>
      <c r="AH92" s="10" t="str">
        <f>HYPERLINK("https://drive.google.com/file/d/162bITrfS14hlPV1z3cg_LBr3jTxapXhX/view?usp=drivesdk", "https://drive.google.com/file/d/162bITrfS14hlPV1z3cg_LBr3jTxapXhX/view?usp=drivesdk")</f>
        <v>https://drive.google.com/file/d/162bITrfS14hlPV1z3cg_LBr3jTxapXhX/view?usp=drivesdk</v>
      </c>
      <c r="AJ92" s="6" t="s">
        <v>1367</v>
      </c>
      <c r="AK92" s="6" t="s">
        <v>61</v>
      </c>
      <c r="AL92" s="13"/>
    </row>
    <row r="93" ht="22.5" customHeight="1">
      <c r="A93" s="4">
        <v>45838.818587291666</v>
      </c>
      <c r="B93" s="5">
        <v>45835.0</v>
      </c>
      <c r="C93" s="6" t="s">
        <v>1368</v>
      </c>
      <c r="D93" s="6" t="s">
        <v>1369</v>
      </c>
      <c r="E93" s="6" t="s">
        <v>1370</v>
      </c>
      <c r="F93" s="6" t="s">
        <v>1371</v>
      </c>
      <c r="G93" s="6" t="s">
        <v>332</v>
      </c>
      <c r="H93" s="7" t="s">
        <v>1372</v>
      </c>
      <c r="I93" s="6" t="s">
        <v>1373</v>
      </c>
      <c r="J93" s="6" t="s">
        <v>1374</v>
      </c>
      <c r="K93" s="6" t="s">
        <v>336</v>
      </c>
      <c r="L93" s="7" t="s">
        <v>1375</v>
      </c>
      <c r="M93" s="5">
        <v>45808.0</v>
      </c>
      <c r="N93" s="6" t="s">
        <v>48</v>
      </c>
      <c r="O93" s="6" t="s">
        <v>1376</v>
      </c>
      <c r="P93" s="6" t="s">
        <v>48</v>
      </c>
      <c r="Q93" s="6" t="s">
        <v>1377</v>
      </c>
      <c r="R93" s="6" t="s">
        <v>1378</v>
      </c>
      <c r="S93" s="6" t="s">
        <v>1379</v>
      </c>
      <c r="T93" s="6" t="s">
        <v>273</v>
      </c>
      <c r="U93" s="5">
        <v>42799.0</v>
      </c>
      <c r="V93" s="6" t="s">
        <v>54</v>
      </c>
      <c r="W93" s="6" t="s">
        <v>55</v>
      </c>
      <c r="X93" s="6" t="s">
        <v>102</v>
      </c>
      <c r="Y93" s="6" t="s">
        <v>123</v>
      </c>
      <c r="Z93" s="6" t="s">
        <v>1380</v>
      </c>
      <c r="AA93" s="6" t="s">
        <v>820</v>
      </c>
      <c r="AB93" s="6">
        <v>4.0</v>
      </c>
      <c r="AD93" s="7" t="s">
        <v>1372</v>
      </c>
      <c r="AE93" s="7" t="s">
        <v>1372</v>
      </c>
      <c r="AH93" s="27" t="s">
        <v>1381</v>
      </c>
      <c r="AK93" s="6" t="s">
        <v>1204</v>
      </c>
      <c r="AL93" s="13"/>
    </row>
    <row r="94" ht="22.5" customHeight="1">
      <c r="A94" s="4">
        <v>45838.82279179398</v>
      </c>
      <c r="B94" s="5">
        <v>45835.0</v>
      </c>
      <c r="C94" s="6" t="s">
        <v>1382</v>
      </c>
      <c r="D94" s="6" t="s">
        <v>1383</v>
      </c>
      <c r="E94" s="6" t="s">
        <v>1384</v>
      </c>
      <c r="F94" s="6" t="s">
        <v>1385</v>
      </c>
      <c r="G94" s="6" t="s">
        <v>377</v>
      </c>
      <c r="H94" s="7" t="s">
        <v>1386</v>
      </c>
      <c r="I94" s="6" t="s">
        <v>1387</v>
      </c>
      <c r="J94" s="6" t="s">
        <v>1296</v>
      </c>
      <c r="K94" s="6" t="s">
        <v>749</v>
      </c>
      <c r="L94" s="7" t="s">
        <v>1388</v>
      </c>
      <c r="M94" s="5">
        <v>45808.0</v>
      </c>
      <c r="N94" s="6" t="s">
        <v>504</v>
      </c>
      <c r="O94" s="6" t="s">
        <v>1389</v>
      </c>
      <c r="P94" s="6" t="s">
        <v>504</v>
      </c>
      <c r="Q94" s="6" t="s">
        <v>1390</v>
      </c>
      <c r="R94" s="6" t="s">
        <v>1391</v>
      </c>
      <c r="S94" s="6" t="s">
        <v>1392</v>
      </c>
      <c r="T94" s="6" t="s">
        <v>802</v>
      </c>
      <c r="U94" s="5">
        <v>42752.0</v>
      </c>
      <c r="V94" s="6" t="s">
        <v>54</v>
      </c>
      <c r="W94" s="6" t="s">
        <v>77</v>
      </c>
      <c r="X94" s="6" t="s">
        <v>102</v>
      </c>
      <c r="Y94" s="6" t="s">
        <v>160</v>
      </c>
      <c r="Z94" s="6" t="s">
        <v>1393</v>
      </c>
      <c r="AA94" s="6" t="s">
        <v>820</v>
      </c>
      <c r="AB94" s="6">
        <v>1.0</v>
      </c>
      <c r="AD94" s="7" t="s">
        <v>1388</v>
      </c>
      <c r="AE94" s="7" t="s">
        <v>1388</v>
      </c>
      <c r="AG94" s="6" t="s">
        <v>1394</v>
      </c>
      <c r="AH94" s="10" t="str">
        <f>HYPERLINK("https://drive.google.com/file/d/1L8avuD9niul_5b_Tvsx1pOyzmkd46RGn/view?usp=drivesdk", "https://drive.google.com/file/d/1L8avuD9niul_5b_Tvsx1pOyzmkd46RGn/view?usp=drivesdk")</f>
        <v>https://drive.google.com/file/d/1L8avuD9niul_5b_Tvsx1pOyzmkd46RGn/view?usp=drivesdk</v>
      </c>
      <c r="AJ94" s="6" t="s">
        <v>585</v>
      </c>
      <c r="AK94" s="6" t="s">
        <v>61</v>
      </c>
      <c r="AL94" s="13"/>
    </row>
    <row r="95" ht="22.5" customHeight="1">
      <c r="A95" s="4">
        <v>45838.8241846412</v>
      </c>
      <c r="B95" s="5">
        <v>45835.0</v>
      </c>
      <c r="C95" s="6" t="s">
        <v>1395</v>
      </c>
      <c r="D95" s="6" t="s">
        <v>1396</v>
      </c>
      <c r="E95" s="6" t="s">
        <v>1397</v>
      </c>
      <c r="F95" s="6" t="s">
        <v>345</v>
      </c>
      <c r="G95" s="6" t="s">
        <v>332</v>
      </c>
      <c r="H95" s="7" t="s">
        <v>1398</v>
      </c>
      <c r="I95" s="6" t="s">
        <v>1399</v>
      </c>
      <c r="J95" s="6" t="s">
        <v>1400</v>
      </c>
      <c r="K95" s="6" t="s">
        <v>336</v>
      </c>
      <c r="L95" s="7" t="s">
        <v>1401</v>
      </c>
      <c r="M95" s="5">
        <v>45808.0</v>
      </c>
      <c r="N95" s="6" t="s">
        <v>48</v>
      </c>
      <c r="O95" s="6" t="s">
        <v>1402</v>
      </c>
      <c r="P95" s="6" t="s">
        <v>48</v>
      </c>
      <c r="R95" s="6" t="s">
        <v>1403</v>
      </c>
      <c r="S95" s="6" t="s">
        <v>1404</v>
      </c>
      <c r="T95" s="6" t="s">
        <v>234</v>
      </c>
      <c r="U95" s="5">
        <v>43874.0</v>
      </c>
      <c r="V95" s="6" t="s">
        <v>54</v>
      </c>
      <c r="W95" s="6" t="s">
        <v>55</v>
      </c>
      <c r="X95" s="6" t="s">
        <v>102</v>
      </c>
      <c r="Y95" s="6" t="s">
        <v>123</v>
      </c>
      <c r="Z95" s="6" t="s">
        <v>1405</v>
      </c>
      <c r="AA95" s="6" t="s">
        <v>1406</v>
      </c>
      <c r="AB95" s="6">
        <v>25.0</v>
      </c>
      <c r="AC95" s="6" t="s">
        <v>1407</v>
      </c>
      <c r="AD95" s="7" t="s">
        <v>1408</v>
      </c>
      <c r="AE95" s="7" t="s">
        <v>1409</v>
      </c>
      <c r="AH95" s="11" t="str">
        <f>HYPERLINK("https://drive.google.com/file/d/1i9cH6VnxbRwkFQtNW1hFoqwpUTJKYrO2/view?usp=drivesdk", "https://drive.google.com/file/d/1i9cH6VnxbRwkFQtNW1hFoqwpUTJKYrO2/view?usp=drivesdk")</f>
        <v>https://drive.google.com/file/d/1i9cH6VnxbRwkFQtNW1hFoqwpUTJKYrO2/view?usp=drivesdk</v>
      </c>
      <c r="AK95" s="6" t="s">
        <v>166</v>
      </c>
      <c r="AL95" s="13"/>
    </row>
    <row r="96" ht="22.5" customHeight="1">
      <c r="A96" s="4">
        <v>45838.829969293976</v>
      </c>
      <c r="B96" s="5">
        <v>45835.0</v>
      </c>
      <c r="C96" s="6" t="s">
        <v>1410</v>
      </c>
      <c r="D96" s="6" t="s">
        <v>1411</v>
      </c>
      <c r="E96" s="6" t="s">
        <v>1412</v>
      </c>
      <c r="F96" s="6" t="s">
        <v>1413</v>
      </c>
      <c r="G96" s="6" t="s">
        <v>42</v>
      </c>
      <c r="H96" s="7" t="s">
        <v>1414</v>
      </c>
      <c r="I96" s="6" t="s">
        <v>1415</v>
      </c>
      <c r="J96" s="6" t="s">
        <v>1416</v>
      </c>
      <c r="K96" s="6" t="s">
        <v>42</v>
      </c>
      <c r="L96" s="7" t="s">
        <v>1417</v>
      </c>
      <c r="M96" s="5">
        <v>45808.0</v>
      </c>
      <c r="N96" s="6" t="s">
        <v>48</v>
      </c>
      <c r="O96" s="6" t="s">
        <v>1418</v>
      </c>
      <c r="P96" s="6" t="s">
        <v>48</v>
      </c>
      <c r="Q96" s="6" t="s">
        <v>1419</v>
      </c>
      <c r="R96" s="6" t="s">
        <v>1420</v>
      </c>
      <c r="S96" s="6" t="s">
        <v>1421</v>
      </c>
      <c r="T96" s="6" t="s">
        <v>1422</v>
      </c>
      <c r="U96" s="5">
        <v>44177.0</v>
      </c>
      <c r="V96" s="6" t="s">
        <v>54</v>
      </c>
      <c r="W96" s="6" t="s">
        <v>55</v>
      </c>
      <c r="X96" s="6" t="s">
        <v>102</v>
      </c>
      <c r="Z96" s="6" t="s">
        <v>1423</v>
      </c>
      <c r="AA96" s="6" t="s">
        <v>104</v>
      </c>
      <c r="AB96" s="6" t="s">
        <v>1424</v>
      </c>
      <c r="AD96" s="7" t="s">
        <v>1414</v>
      </c>
      <c r="AE96" s="7" t="s">
        <v>1425</v>
      </c>
      <c r="AF96" s="6" t="s">
        <v>1426</v>
      </c>
      <c r="AG96" s="6" t="s">
        <v>1427</v>
      </c>
      <c r="AH96" s="10" t="str">
        <f>HYPERLINK("https://drive.google.com/file/d/1rh_HXhRuVvSEhkFC2UjmRaCVmB0Ad-0v/view?usp=drivesdk", "https://drive.google.com/file/d/1rh_HXhRuVvSEhkFC2UjmRaCVmB0Ad-0v/view?usp=drivesdk")</f>
        <v>https://drive.google.com/file/d/1rh_HXhRuVvSEhkFC2UjmRaCVmB0Ad-0v/view?usp=drivesdk</v>
      </c>
      <c r="AJ96" s="6" t="s">
        <v>1428</v>
      </c>
      <c r="AK96" s="6" t="s">
        <v>61</v>
      </c>
      <c r="AL96" s="13"/>
    </row>
    <row r="97" ht="22.5" customHeight="1">
      <c r="A97" s="4">
        <v>45838.83583177083</v>
      </c>
      <c r="B97" s="5">
        <v>45835.0</v>
      </c>
      <c r="C97" s="6" t="s">
        <v>1429</v>
      </c>
      <c r="D97" s="6" t="s">
        <v>1430</v>
      </c>
      <c r="E97" s="6" t="s">
        <v>1431</v>
      </c>
      <c r="F97" s="6" t="s">
        <v>1432</v>
      </c>
      <c r="G97" s="6" t="s">
        <v>1433</v>
      </c>
      <c r="H97" s="7" t="s">
        <v>1434</v>
      </c>
      <c r="I97" s="6" t="s">
        <v>1435</v>
      </c>
      <c r="J97" s="6" t="s">
        <v>1436</v>
      </c>
      <c r="K97" s="6" t="s">
        <v>1437</v>
      </c>
      <c r="L97" s="7" t="s">
        <v>1438</v>
      </c>
      <c r="M97" s="5">
        <v>45808.0</v>
      </c>
      <c r="N97" s="6" t="s">
        <v>504</v>
      </c>
      <c r="O97" s="6" t="s">
        <v>1439</v>
      </c>
      <c r="P97" s="6" t="s">
        <v>504</v>
      </c>
      <c r="Q97" s="6" t="s">
        <v>1440</v>
      </c>
      <c r="R97" s="6" t="s">
        <v>1441</v>
      </c>
      <c r="S97" s="6" t="s">
        <v>1442</v>
      </c>
      <c r="T97" s="6" t="s">
        <v>1443</v>
      </c>
      <c r="U97" s="5">
        <v>42233.0</v>
      </c>
      <c r="V97" s="6" t="s">
        <v>54</v>
      </c>
      <c r="W97" s="6" t="s">
        <v>77</v>
      </c>
      <c r="X97" s="6" t="s">
        <v>102</v>
      </c>
      <c r="Z97" s="6" t="s">
        <v>1444</v>
      </c>
      <c r="AA97" s="6" t="s">
        <v>1445</v>
      </c>
      <c r="AB97" s="6" t="s">
        <v>1446</v>
      </c>
      <c r="AC97" s="6" t="s">
        <v>1447</v>
      </c>
      <c r="AD97" s="7" t="s">
        <v>1434</v>
      </c>
      <c r="AE97" s="7" t="s">
        <v>1434</v>
      </c>
      <c r="AF97" s="6" t="s">
        <v>1448</v>
      </c>
      <c r="AH97" s="11" t="str">
        <f>HYPERLINK("https://drive.google.com/file/d/1XueMJnxTw8xCLV6eMfbuJa9N6QbKWkfY/view?usp=drivesdk", "https://drive.google.com/file/d/1XueMJnxTw8xCLV6eMfbuJa9N6QbKWkfY/view?usp=drivesdk")</f>
        <v>https://drive.google.com/file/d/1XueMJnxTw8xCLV6eMfbuJa9N6QbKWkfY/view?usp=drivesdk</v>
      </c>
      <c r="AJ97" s="6" t="s">
        <v>279</v>
      </c>
      <c r="AK97" s="6" t="s">
        <v>166</v>
      </c>
      <c r="AL97" s="13"/>
    </row>
    <row r="98" ht="22.5" customHeight="1">
      <c r="A98" s="4">
        <v>45838.83982311343</v>
      </c>
      <c r="B98" s="5">
        <v>45835.0</v>
      </c>
      <c r="C98" s="6" t="s">
        <v>1449</v>
      </c>
      <c r="D98" s="6" t="s">
        <v>1450</v>
      </c>
      <c r="E98" s="6" t="s">
        <v>1451</v>
      </c>
      <c r="F98" s="6" t="s">
        <v>1452</v>
      </c>
      <c r="G98" s="6" t="s">
        <v>1453</v>
      </c>
      <c r="H98" s="7" t="s">
        <v>1454</v>
      </c>
      <c r="I98" s="6" t="s">
        <v>1455</v>
      </c>
      <c r="J98" s="6" t="s">
        <v>1456</v>
      </c>
      <c r="K98" s="6" t="s">
        <v>336</v>
      </c>
      <c r="L98" s="7" t="s">
        <v>1457</v>
      </c>
      <c r="M98" s="5">
        <v>45808.0</v>
      </c>
      <c r="N98" s="6" t="s">
        <v>504</v>
      </c>
      <c r="O98" s="6" t="s">
        <v>1458</v>
      </c>
      <c r="P98" s="6" t="s">
        <v>504</v>
      </c>
      <c r="R98" s="6" t="s">
        <v>1459</v>
      </c>
      <c r="S98" s="6" t="s">
        <v>1460</v>
      </c>
      <c r="T98" s="6" t="s">
        <v>1461</v>
      </c>
      <c r="U98" s="5">
        <v>43838.0</v>
      </c>
      <c r="V98" s="6" t="s">
        <v>54</v>
      </c>
      <c r="W98" s="6" t="s">
        <v>55</v>
      </c>
      <c r="X98" s="6" t="s">
        <v>102</v>
      </c>
      <c r="Y98" s="6" t="s">
        <v>160</v>
      </c>
      <c r="Z98" s="6" t="s">
        <v>1462</v>
      </c>
      <c r="AA98" s="6" t="s">
        <v>162</v>
      </c>
      <c r="AB98" s="6">
        <v>2.0</v>
      </c>
      <c r="AD98" s="7" t="s">
        <v>1457</v>
      </c>
      <c r="AE98" s="7" t="s">
        <v>1463</v>
      </c>
      <c r="AF98" s="6" t="s">
        <v>1464</v>
      </c>
      <c r="AG98" s="6" t="s">
        <v>1465</v>
      </c>
      <c r="AH98" s="10" t="str">
        <f>HYPERLINK("https://drive.google.com/file/d/13kcYdWk3e20Nwpeh8UAodFk3umyg25QF/view?usp=drivesdk", "https://drive.google.com/file/d/13kcYdWk3e20Nwpeh8UAodFk3umyg25QF/view?usp=drivesdk")</f>
        <v>https://drive.google.com/file/d/13kcYdWk3e20Nwpeh8UAodFk3umyg25QF/view?usp=drivesdk</v>
      </c>
      <c r="AJ98" s="6" t="s">
        <v>949</v>
      </c>
      <c r="AK98" s="6" t="s">
        <v>61</v>
      </c>
      <c r="AL98" s="13"/>
    </row>
    <row r="99" ht="22.5" customHeight="1">
      <c r="A99" s="4">
        <v>45838.844614120375</v>
      </c>
      <c r="B99" s="5">
        <v>45835.0</v>
      </c>
      <c r="C99" s="6" t="s">
        <v>1466</v>
      </c>
      <c r="D99" s="6" t="s">
        <v>1467</v>
      </c>
      <c r="E99" s="6" t="s">
        <v>1136</v>
      </c>
      <c r="F99" s="6" t="s">
        <v>1137</v>
      </c>
      <c r="G99" s="6" t="s">
        <v>1138</v>
      </c>
      <c r="H99" s="7" t="s">
        <v>1139</v>
      </c>
      <c r="I99" s="6" t="s">
        <v>1140</v>
      </c>
      <c r="J99" s="6" t="s">
        <v>1141</v>
      </c>
      <c r="K99" s="6" t="s">
        <v>336</v>
      </c>
      <c r="L99" s="7" t="s">
        <v>1142</v>
      </c>
      <c r="M99" s="5">
        <v>45808.0</v>
      </c>
      <c r="N99" s="6" t="s">
        <v>48</v>
      </c>
      <c r="O99" s="6" t="s">
        <v>1468</v>
      </c>
      <c r="P99" s="6" t="s">
        <v>48</v>
      </c>
      <c r="R99" s="6" t="s">
        <v>1469</v>
      </c>
      <c r="S99" s="6" t="s">
        <v>1470</v>
      </c>
      <c r="T99" s="6" t="s">
        <v>887</v>
      </c>
      <c r="U99" s="5">
        <v>43101.0</v>
      </c>
      <c r="V99" s="6" t="s">
        <v>54</v>
      </c>
      <c r="W99" s="6" t="s">
        <v>77</v>
      </c>
      <c r="X99" s="6" t="s">
        <v>102</v>
      </c>
      <c r="Y99" s="6" t="s">
        <v>439</v>
      </c>
      <c r="Z99" s="6" t="s">
        <v>1471</v>
      </c>
      <c r="AA99" s="6" t="s">
        <v>820</v>
      </c>
      <c r="AB99" s="7" t="s">
        <v>1472</v>
      </c>
      <c r="AD99" s="7" t="s">
        <v>1142</v>
      </c>
      <c r="AE99" s="7" t="s">
        <v>1142</v>
      </c>
      <c r="AH99" s="11" t="str">
        <f>HYPERLINK("https://drive.google.com/file/d/1Y7DON6tkp6wLtdzekVCrURIb_Gdmx_zz/view?usp=drivesdk", "https://drive.google.com/file/d/1Y7DON6tkp6wLtdzekVCrURIb_Gdmx_zz/view?usp=drivesdk")</f>
        <v>https://drive.google.com/file/d/1Y7DON6tkp6wLtdzekVCrURIb_Gdmx_zz/view?usp=drivesdk</v>
      </c>
      <c r="AK99" s="6" t="s">
        <v>166</v>
      </c>
      <c r="AL99" s="13"/>
    </row>
    <row r="100" ht="22.5" customHeight="1">
      <c r="A100" s="4">
        <v>45838.85527518518</v>
      </c>
      <c r="B100" s="5">
        <v>45835.0</v>
      </c>
      <c r="C100" s="6" t="s">
        <v>1473</v>
      </c>
      <c r="D100" s="6" t="s">
        <v>1474</v>
      </c>
      <c r="E100" s="6" t="s">
        <v>1475</v>
      </c>
      <c r="F100" s="6" t="s">
        <v>1476</v>
      </c>
      <c r="G100" s="6" t="s">
        <v>1477</v>
      </c>
      <c r="H100" s="7" t="s">
        <v>1478</v>
      </c>
      <c r="I100" s="6" t="s">
        <v>1479</v>
      </c>
      <c r="J100" s="6" t="s">
        <v>1480</v>
      </c>
      <c r="K100" s="6" t="s">
        <v>336</v>
      </c>
      <c r="L100" s="7" t="s">
        <v>1481</v>
      </c>
      <c r="M100" s="5">
        <v>45808.0</v>
      </c>
      <c r="N100" s="6" t="s">
        <v>48</v>
      </c>
      <c r="O100" s="6" t="s">
        <v>1482</v>
      </c>
      <c r="P100" s="6" t="s">
        <v>48</v>
      </c>
      <c r="Q100" s="6" t="s">
        <v>1483</v>
      </c>
      <c r="R100" s="6" t="s">
        <v>1484</v>
      </c>
      <c r="S100" s="6" t="s">
        <v>1485</v>
      </c>
      <c r="T100" s="6" t="s">
        <v>217</v>
      </c>
      <c r="U100" s="5">
        <v>41959.0</v>
      </c>
      <c r="V100" s="6" t="s">
        <v>54</v>
      </c>
      <c r="W100" s="6" t="s">
        <v>77</v>
      </c>
      <c r="X100" s="6" t="s">
        <v>102</v>
      </c>
      <c r="Y100" s="6" t="s">
        <v>78</v>
      </c>
      <c r="Z100" s="6" t="s">
        <v>1486</v>
      </c>
      <c r="AA100" s="6" t="s">
        <v>275</v>
      </c>
      <c r="AB100" s="6">
        <v>2.0</v>
      </c>
      <c r="AD100" s="7" t="s">
        <v>1487</v>
      </c>
      <c r="AE100" s="7" t="s">
        <v>1481</v>
      </c>
      <c r="AG100" s="6" t="s">
        <v>1488</v>
      </c>
      <c r="AH100" s="10" t="str">
        <f t="shared" ref="AH100:AH101" si="11">HYPERLINK("https://drive.google.com/file/d/1AFUh4HoV6IUMlgkJrjDi3Fa_TS9jDFrz/view?usp=drivesdk", "https://drive.google.com/file/d/1AFUh4HoV6IUMlgkJrjDi3Fa_TS9jDFrz/view?usp=drivesdk")</f>
        <v>https://drive.google.com/file/d/1AFUh4HoV6IUMlgkJrjDi3Fa_TS9jDFrz/view?usp=drivesdk</v>
      </c>
      <c r="AJ100" s="6" t="s">
        <v>1489</v>
      </c>
      <c r="AK100" s="6" t="s">
        <v>61</v>
      </c>
      <c r="AL100" s="13"/>
    </row>
    <row r="101" ht="22.5" customHeight="1">
      <c r="A101" s="4">
        <v>45838.85974817129</v>
      </c>
      <c r="B101" s="5">
        <v>45835.0</v>
      </c>
      <c r="C101" s="6" t="s">
        <v>1473</v>
      </c>
      <c r="D101" s="6" t="s">
        <v>1474</v>
      </c>
      <c r="E101" s="6" t="s">
        <v>1475</v>
      </c>
      <c r="F101" s="6" t="s">
        <v>1476</v>
      </c>
      <c r="G101" s="6" t="s">
        <v>1477</v>
      </c>
      <c r="H101" s="7" t="s">
        <v>1478</v>
      </c>
      <c r="I101" s="6" t="s">
        <v>1490</v>
      </c>
      <c r="J101" s="6" t="s">
        <v>1480</v>
      </c>
      <c r="K101" s="6" t="s">
        <v>336</v>
      </c>
      <c r="L101" s="7" t="s">
        <v>1481</v>
      </c>
      <c r="M101" s="5">
        <v>45808.0</v>
      </c>
      <c r="N101" s="6" t="s">
        <v>504</v>
      </c>
      <c r="O101" s="6" t="s">
        <v>1482</v>
      </c>
      <c r="P101" s="6" t="s">
        <v>504</v>
      </c>
      <c r="Q101" s="6" t="s">
        <v>1483</v>
      </c>
      <c r="R101" s="6" t="s">
        <v>1491</v>
      </c>
      <c r="S101" s="6" t="s">
        <v>1492</v>
      </c>
      <c r="T101" s="6" t="s">
        <v>217</v>
      </c>
      <c r="U101" s="5">
        <v>41959.0</v>
      </c>
      <c r="V101" s="6" t="s">
        <v>54</v>
      </c>
      <c r="W101" s="6" t="s">
        <v>77</v>
      </c>
      <c r="X101" s="6" t="s">
        <v>102</v>
      </c>
      <c r="Y101" s="6" t="s">
        <v>78</v>
      </c>
      <c r="Z101" s="6" t="s">
        <v>1493</v>
      </c>
      <c r="AA101" s="6" t="s">
        <v>275</v>
      </c>
      <c r="AB101" s="6">
        <v>2.0</v>
      </c>
      <c r="AD101" s="7" t="s">
        <v>1487</v>
      </c>
      <c r="AE101" s="7" t="s">
        <v>1481</v>
      </c>
      <c r="AG101" s="6" t="s">
        <v>1488</v>
      </c>
      <c r="AH101" s="11" t="str">
        <f t="shared" si="11"/>
        <v>https://drive.google.com/file/d/1AFUh4HoV6IUMlgkJrjDi3Fa_TS9jDFrz/view?usp=drivesdk</v>
      </c>
      <c r="AJ101" s="6" t="s">
        <v>1084</v>
      </c>
      <c r="AK101" s="6" t="s">
        <v>61</v>
      </c>
      <c r="AL101" s="13"/>
    </row>
    <row r="102" ht="22.5" customHeight="1">
      <c r="A102" s="4">
        <v>45838.95815061343</v>
      </c>
      <c r="B102" s="5">
        <v>45835.0</v>
      </c>
      <c r="C102" s="6" t="s">
        <v>1494</v>
      </c>
      <c r="D102" s="6" t="s">
        <v>1495</v>
      </c>
      <c r="E102" s="6" t="s">
        <v>1496</v>
      </c>
      <c r="F102" s="6" t="s">
        <v>1497</v>
      </c>
      <c r="G102" s="6" t="s">
        <v>377</v>
      </c>
      <c r="H102" s="7" t="s">
        <v>1498</v>
      </c>
      <c r="I102" s="6" t="s">
        <v>1499</v>
      </c>
      <c r="J102" s="6" t="s">
        <v>1500</v>
      </c>
      <c r="K102" s="6" t="s">
        <v>336</v>
      </c>
      <c r="L102" s="7" t="s">
        <v>1501</v>
      </c>
      <c r="M102" s="5">
        <v>45808.0</v>
      </c>
      <c r="N102" s="6" t="s">
        <v>48</v>
      </c>
      <c r="O102" s="6" t="s">
        <v>1502</v>
      </c>
      <c r="P102" s="6" t="s">
        <v>48</v>
      </c>
      <c r="R102" s="6" t="s">
        <v>1503</v>
      </c>
      <c r="S102" s="6" t="s">
        <v>1504</v>
      </c>
      <c r="T102" s="6" t="s">
        <v>217</v>
      </c>
      <c r="U102" s="5">
        <v>44087.0</v>
      </c>
      <c r="V102" s="6" t="s">
        <v>54</v>
      </c>
      <c r="W102" s="6" t="s">
        <v>55</v>
      </c>
      <c r="X102" s="6" t="s">
        <v>102</v>
      </c>
      <c r="Y102" s="6" t="s">
        <v>78</v>
      </c>
      <c r="Z102" s="6" t="s">
        <v>1505</v>
      </c>
      <c r="AD102" s="7" t="s">
        <v>1498</v>
      </c>
      <c r="AE102" s="7" t="s">
        <v>1498</v>
      </c>
      <c r="AH102" s="10" t="str">
        <f>HYPERLINK("https://drive.google.com/file/d/16GKnV0Lbiw8CPHaD1KdBUc0Nuzd4Fjqa/view?usp=drivesdk", "https://drive.google.com/file/d/16GKnV0Lbiw8CPHaD1KdBUc0Nuzd4Fjqa/view?usp=drivesdk")</f>
        <v>https://drive.google.com/file/d/16GKnV0Lbiw8CPHaD1KdBUc0Nuzd4Fjqa/view?usp=drivesdk</v>
      </c>
      <c r="AJ102" s="6" t="s">
        <v>949</v>
      </c>
      <c r="AK102" s="6" t="s">
        <v>61</v>
      </c>
      <c r="AL102" s="13"/>
    </row>
    <row r="103" ht="22.5" customHeight="1">
      <c r="A103" s="4">
        <v>45838.9663321875</v>
      </c>
      <c r="B103" s="5">
        <v>45835.0</v>
      </c>
      <c r="C103" s="6" t="s">
        <v>1506</v>
      </c>
      <c r="D103" s="6" t="s">
        <v>1507</v>
      </c>
      <c r="E103" s="6" t="s">
        <v>1508</v>
      </c>
      <c r="F103" s="6" t="s">
        <v>1509</v>
      </c>
      <c r="G103" s="6" t="s">
        <v>150</v>
      </c>
      <c r="H103" s="7" t="s">
        <v>1510</v>
      </c>
      <c r="I103" s="6" t="s">
        <v>1511</v>
      </c>
      <c r="J103" s="6" t="s">
        <v>1512</v>
      </c>
      <c r="K103" s="6" t="s">
        <v>336</v>
      </c>
      <c r="L103" s="7" t="s">
        <v>1513</v>
      </c>
      <c r="M103" s="5">
        <v>45808.0</v>
      </c>
      <c r="N103" s="6" t="s">
        <v>176</v>
      </c>
      <c r="O103" s="6" t="s">
        <v>1514</v>
      </c>
      <c r="P103" s="6" t="s">
        <v>176</v>
      </c>
      <c r="R103" s="6" t="s">
        <v>1515</v>
      </c>
      <c r="S103" s="6" t="s">
        <v>1516</v>
      </c>
      <c r="T103" s="6" t="s">
        <v>101</v>
      </c>
      <c r="U103" s="5">
        <v>40027.0</v>
      </c>
      <c r="V103" s="6" t="s">
        <v>54</v>
      </c>
      <c r="W103" s="6" t="s">
        <v>77</v>
      </c>
      <c r="X103" s="6" t="s">
        <v>102</v>
      </c>
      <c r="Y103" s="6" t="s">
        <v>439</v>
      </c>
      <c r="Z103" s="6" t="s">
        <v>1517</v>
      </c>
      <c r="AA103" s="6" t="s">
        <v>1518</v>
      </c>
      <c r="AB103" s="6">
        <v>89.0</v>
      </c>
      <c r="AD103" s="7" t="s">
        <v>1519</v>
      </c>
      <c r="AE103" s="7" t="s">
        <v>1513</v>
      </c>
      <c r="AH103" s="11" t="str">
        <f>HYPERLINK("https://drive.google.com/file/d/1HcCvrcF-3tlaRUeTgvViM93TrriND17f/view?usp=drivesdk", "https://drive.google.com/file/d/1HcCvrcF-3tlaRUeTgvViM93TrriND17f/view?usp=drivesdk")</f>
        <v>https://drive.google.com/file/d/1HcCvrcF-3tlaRUeTgvViM93TrriND17f/view?usp=drivesdk</v>
      </c>
      <c r="AJ103" s="6" t="s">
        <v>1305</v>
      </c>
      <c r="AK103" s="6" t="s">
        <v>61</v>
      </c>
      <c r="AL103" s="13"/>
    </row>
    <row r="104" ht="22.5" customHeight="1">
      <c r="A104" s="4">
        <v>45839.03033329861</v>
      </c>
      <c r="B104" s="5">
        <v>45804.0</v>
      </c>
      <c r="C104" s="6" t="s">
        <v>1520</v>
      </c>
      <c r="D104" s="6" t="s">
        <v>1521</v>
      </c>
      <c r="E104" s="6" t="s">
        <v>1522</v>
      </c>
      <c r="F104" s="6" t="s">
        <v>1523</v>
      </c>
      <c r="G104" s="6" t="s">
        <v>150</v>
      </c>
      <c r="H104" s="7" t="s">
        <v>1524</v>
      </c>
      <c r="I104" s="6" t="s">
        <v>1525</v>
      </c>
      <c r="J104" s="6" t="s">
        <v>1526</v>
      </c>
      <c r="K104" s="6" t="s">
        <v>46</v>
      </c>
      <c r="L104" s="7" t="s">
        <v>1527</v>
      </c>
      <c r="M104" s="5">
        <v>45808.0</v>
      </c>
      <c r="N104" s="6" t="s">
        <v>48</v>
      </c>
      <c r="O104" s="6" t="s">
        <v>1528</v>
      </c>
      <c r="P104" s="6" t="s">
        <v>48</v>
      </c>
      <c r="R104" s="6" t="s">
        <v>1529</v>
      </c>
      <c r="S104" s="6" t="s">
        <v>1530</v>
      </c>
      <c r="T104" s="6" t="s">
        <v>1531</v>
      </c>
      <c r="U104" s="5">
        <v>44311.0</v>
      </c>
      <c r="V104" s="6" t="s">
        <v>54</v>
      </c>
      <c r="W104" s="6" t="s">
        <v>55</v>
      </c>
      <c r="X104" s="6" t="s">
        <v>102</v>
      </c>
      <c r="Y104" s="6" t="s">
        <v>123</v>
      </c>
      <c r="Z104" s="6" t="s">
        <v>1532</v>
      </c>
      <c r="AA104" s="6" t="s">
        <v>499</v>
      </c>
      <c r="AB104" s="6">
        <v>5.0</v>
      </c>
      <c r="AD104" s="7" t="s">
        <v>1533</v>
      </c>
      <c r="AE104" s="7" t="s">
        <v>1534</v>
      </c>
      <c r="AF104" s="6" t="s">
        <v>1535</v>
      </c>
      <c r="AH104" s="10" t="str">
        <f t="shared" ref="AH104:AH105" si="12">HYPERLINK("https://drive.google.com/file/d/1NeLdKy1_ki1Y1-gkj14bvGpTTkMwDaz6/view?usp=drivesdk", "https://drive.google.com/file/d/1NeLdKy1_ki1Y1-gkj14bvGpTTkMwDaz6/view?usp=drivesdk")</f>
        <v>https://drive.google.com/file/d/1NeLdKy1_ki1Y1-gkj14bvGpTTkMwDaz6/view?usp=drivesdk</v>
      </c>
      <c r="AJ104" s="6" t="s">
        <v>1536</v>
      </c>
      <c r="AK104" s="6" t="s">
        <v>61</v>
      </c>
      <c r="AL104" s="13"/>
    </row>
    <row r="105" ht="22.5" customHeight="1">
      <c r="A105" s="4">
        <v>45839.05285876157</v>
      </c>
      <c r="B105" s="5">
        <v>45804.0</v>
      </c>
      <c r="C105" s="6" t="s">
        <v>1520</v>
      </c>
      <c r="D105" s="6" t="s">
        <v>1521</v>
      </c>
      <c r="E105" s="6" t="s">
        <v>1537</v>
      </c>
      <c r="F105" s="6" t="s">
        <v>1523</v>
      </c>
      <c r="G105" s="6" t="s">
        <v>150</v>
      </c>
      <c r="H105" s="7" t="s">
        <v>1524</v>
      </c>
      <c r="I105" s="6" t="s">
        <v>1525</v>
      </c>
      <c r="J105" s="6" t="s">
        <v>1526</v>
      </c>
      <c r="K105" s="6" t="s">
        <v>336</v>
      </c>
      <c r="L105" s="7" t="s">
        <v>1527</v>
      </c>
      <c r="M105" s="5">
        <v>45808.0</v>
      </c>
      <c r="N105" s="6" t="s">
        <v>504</v>
      </c>
      <c r="O105" s="6" t="s">
        <v>1528</v>
      </c>
      <c r="P105" s="6" t="s">
        <v>504</v>
      </c>
      <c r="R105" s="6" t="s">
        <v>1529</v>
      </c>
      <c r="S105" s="6" t="s">
        <v>1530</v>
      </c>
      <c r="T105" s="6" t="s">
        <v>1531</v>
      </c>
      <c r="U105" s="5">
        <v>44311.0</v>
      </c>
      <c r="V105" s="6" t="s">
        <v>54</v>
      </c>
      <c r="W105" s="6" t="s">
        <v>55</v>
      </c>
      <c r="X105" s="6" t="s">
        <v>102</v>
      </c>
      <c r="Y105" s="6" t="s">
        <v>123</v>
      </c>
      <c r="Z105" s="6" t="s">
        <v>1532</v>
      </c>
      <c r="AA105" s="6" t="s">
        <v>499</v>
      </c>
      <c r="AB105" s="6">
        <v>5.0</v>
      </c>
      <c r="AD105" s="7" t="s">
        <v>1533</v>
      </c>
      <c r="AE105" s="7" t="s">
        <v>1534</v>
      </c>
      <c r="AF105" s="6" t="s">
        <v>1535</v>
      </c>
      <c r="AH105" s="11" t="str">
        <f t="shared" si="12"/>
        <v>https://drive.google.com/file/d/1NeLdKy1_ki1Y1-gkj14bvGpTTkMwDaz6/view?usp=drivesdk</v>
      </c>
      <c r="AJ105" s="6" t="s">
        <v>1538</v>
      </c>
      <c r="AK105" s="6" t="s">
        <v>61</v>
      </c>
      <c r="AL105" s="13"/>
    </row>
    <row r="106" ht="22.5" customHeight="1">
      <c r="A106" s="4">
        <v>45839.46033511574</v>
      </c>
      <c r="B106" s="5">
        <v>45835.0</v>
      </c>
      <c r="C106" s="6" t="s">
        <v>1539</v>
      </c>
      <c r="D106" s="6" t="s">
        <v>1540</v>
      </c>
      <c r="E106" s="6" t="s">
        <v>1537</v>
      </c>
      <c r="F106" s="6" t="s">
        <v>1523</v>
      </c>
      <c r="G106" s="6" t="s">
        <v>150</v>
      </c>
      <c r="H106" s="7" t="s">
        <v>1524</v>
      </c>
      <c r="I106" s="6" t="s">
        <v>1525</v>
      </c>
      <c r="J106" s="6" t="s">
        <v>1526</v>
      </c>
      <c r="K106" s="6" t="s">
        <v>336</v>
      </c>
      <c r="L106" s="7" t="s">
        <v>1527</v>
      </c>
      <c r="M106" s="5">
        <v>45808.0</v>
      </c>
      <c r="N106" s="6" t="s">
        <v>48</v>
      </c>
      <c r="O106" s="6" t="s">
        <v>1541</v>
      </c>
      <c r="P106" s="6" t="s">
        <v>48</v>
      </c>
      <c r="Q106" s="6" t="s">
        <v>1542</v>
      </c>
      <c r="R106" s="6" t="s">
        <v>1529</v>
      </c>
      <c r="S106" s="6" t="s">
        <v>1530</v>
      </c>
      <c r="T106" s="6" t="s">
        <v>1531</v>
      </c>
      <c r="U106" s="5">
        <v>43383.0</v>
      </c>
      <c r="V106" s="6" t="s">
        <v>54</v>
      </c>
      <c r="W106" s="6" t="s">
        <v>55</v>
      </c>
      <c r="X106" s="6" t="s">
        <v>102</v>
      </c>
      <c r="Y106" s="6" t="s">
        <v>160</v>
      </c>
      <c r="Z106" s="6" t="s">
        <v>1543</v>
      </c>
      <c r="AA106" s="6" t="s">
        <v>104</v>
      </c>
      <c r="AB106" s="6">
        <v>84.0</v>
      </c>
      <c r="AD106" s="7" t="s">
        <v>1533</v>
      </c>
      <c r="AE106" s="7" t="s">
        <v>1534</v>
      </c>
      <c r="AF106" s="6" t="s">
        <v>1535</v>
      </c>
      <c r="AH106" s="10" t="str">
        <f t="shared" ref="AH106:AH107" si="13">HYPERLINK("https://drive.google.com/file/d/1BQO5MmG-o0RYOeqgCoijkps4nrB6hJt7/view?usp=drivesdk", "https://drive.google.com/file/d/1BQO5MmG-o0RYOeqgCoijkps4nrB6hJt7/view?usp=drivesdk")</f>
        <v>https://drive.google.com/file/d/1BQO5MmG-o0RYOeqgCoijkps4nrB6hJt7/view?usp=drivesdk</v>
      </c>
      <c r="AJ106" s="6" t="s">
        <v>1536</v>
      </c>
      <c r="AK106" s="6" t="s">
        <v>61</v>
      </c>
      <c r="AL106" s="13"/>
    </row>
    <row r="107" ht="22.5" customHeight="1">
      <c r="A107" s="4">
        <v>45839.46402150463</v>
      </c>
      <c r="B107" s="5">
        <v>45835.0</v>
      </c>
      <c r="C107" s="6" t="s">
        <v>1539</v>
      </c>
      <c r="D107" s="6" t="s">
        <v>1540</v>
      </c>
      <c r="E107" s="6" t="s">
        <v>1537</v>
      </c>
      <c r="F107" s="6" t="s">
        <v>1523</v>
      </c>
      <c r="G107" s="6" t="s">
        <v>150</v>
      </c>
      <c r="H107" s="7" t="s">
        <v>1524</v>
      </c>
      <c r="I107" s="6" t="s">
        <v>1525</v>
      </c>
      <c r="J107" s="6" t="s">
        <v>1526</v>
      </c>
      <c r="K107" s="6" t="s">
        <v>336</v>
      </c>
      <c r="L107" s="7" t="s">
        <v>1527</v>
      </c>
      <c r="M107" s="5">
        <v>45808.0</v>
      </c>
      <c r="N107" s="6" t="s">
        <v>504</v>
      </c>
      <c r="O107" s="6" t="s">
        <v>1541</v>
      </c>
      <c r="P107" s="6" t="s">
        <v>504</v>
      </c>
      <c r="Q107" s="6" t="s">
        <v>1542</v>
      </c>
      <c r="R107" s="6" t="s">
        <v>1529</v>
      </c>
      <c r="S107" s="6" t="s">
        <v>1530</v>
      </c>
      <c r="T107" s="6" t="s">
        <v>1531</v>
      </c>
      <c r="U107" s="5">
        <v>43383.0</v>
      </c>
      <c r="V107" s="6" t="s">
        <v>54</v>
      </c>
      <c r="W107" s="6" t="s">
        <v>55</v>
      </c>
      <c r="X107" s="6" t="s">
        <v>102</v>
      </c>
      <c r="Y107" s="6" t="s">
        <v>160</v>
      </c>
      <c r="Z107" s="6" t="s">
        <v>1543</v>
      </c>
      <c r="AA107" s="6" t="s">
        <v>900</v>
      </c>
      <c r="AB107" s="6">
        <v>84.0</v>
      </c>
      <c r="AD107" s="7" t="s">
        <v>1533</v>
      </c>
      <c r="AE107" s="7" t="s">
        <v>1534</v>
      </c>
      <c r="AF107" s="6" t="s">
        <v>1535</v>
      </c>
      <c r="AH107" s="11" t="str">
        <f t="shared" si="13"/>
        <v>https://drive.google.com/file/d/1BQO5MmG-o0RYOeqgCoijkps4nrB6hJt7/view?usp=drivesdk</v>
      </c>
      <c r="AJ107" s="6" t="s">
        <v>1538</v>
      </c>
      <c r="AK107" s="6" t="s">
        <v>61</v>
      </c>
      <c r="AL107" s="13"/>
    </row>
    <row r="108" ht="22.5" customHeight="1">
      <c r="A108" s="4">
        <v>45839.55441865741</v>
      </c>
      <c r="B108" s="5">
        <v>45835.0</v>
      </c>
      <c r="C108" s="6" t="s">
        <v>1544</v>
      </c>
      <c r="D108" s="6" t="s">
        <v>1545</v>
      </c>
      <c r="E108" s="6" t="s">
        <v>1546</v>
      </c>
      <c r="F108" s="6" t="s">
        <v>1547</v>
      </c>
      <c r="G108" s="6" t="s">
        <v>332</v>
      </c>
      <c r="H108" s="7" t="s">
        <v>1548</v>
      </c>
      <c r="I108" s="6" t="s">
        <v>1549</v>
      </c>
      <c r="J108" s="6" t="s">
        <v>1550</v>
      </c>
      <c r="K108" s="6" t="s">
        <v>332</v>
      </c>
      <c r="L108" s="7" t="s">
        <v>1551</v>
      </c>
      <c r="M108" s="5">
        <v>45808.0</v>
      </c>
      <c r="N108" s="6" t="s">
        <v>504</v>
      </c>
      <c r="O108" s="6" t="s">
        <v>1552</v>
      </c>
      <c r="P108" s="6" t="s">
        <v>504</v>
      </c>
      <c r="R108" s="6" t="s">
        <v>1553</v>
      </c>
      <c r="S108" s="6" t="s">
        <v>1554</v>
      </c>
      <c r="T108" s="6" t="s">
        <v>386</v>
      </c>
      <c r="U108" s="5">
        <v>43712.0</v>
      </c>
      <c r="V108" s="6" t="s">
        <v>54</v>
      </c>
      <c r="W108" s="6" t="s">
        <v>77</v>
      </c>
      <c r="X108" s="6" t="s">
        <v>102</v>
      </c>
      <c r="Z108" s="6" t="s">
        <v>1555</v>
      </c>
      <c r="AA108" s="6" t="s">
        <v>140</v>
      </c>
      <c r="AB108" s="7" t="s">
        <v>1556</v>
      </c>
      <c r="AD108" s="7" t="s">
        <v>1557</v>
      </c>
      <c r="AE108" s="7" t="s">
        <v>1551</v>
      </c>
      <c r="AG108" s="6" t="s">
        <v>1558</v>
      </c>
      <c r="AH108" s="10" t="str">
        <f t="shared" ref="AH108:AH109" si="14">HYPERLINK("https://drive.google.com/file/d/1pzvbnkqXiNY6F951gJySXkO0Yxh2Jg_h/view?usp=drivesdk", "https://drive.google.com/file/d/1pzvbnkqXiNY6F951gJySXkO0Yxh2Jg_h/view?usp=drivesdk")</f>
        <v>https://drive.google.com/file/d/1pzvbnkqXiNY6F951gJySXkO0Yxh2Jg_h/view?usp=drivesdk</v>
      </c>
      <c r="AJ108" s="6" t="s">
        <v>1559</v>
      </c>
      <c r="AK108" s="6" t="s">
        <v>166</v>
      </c>
      <c r="AL108" s="13"/>
    </row>
    <row r="109" ht="22.5" customHeight="1">
      <c r="A109" s="4">
        <v>45839.55441865741</v>
      </c>
      <c r="B109" s="5">
        <v>45835.0</v>
      </c>
      <c r="C109" s="6" t="s">
        <v>1544</v>
      </c>
      <c r="D109" s="6" t="s">
        <v>1545</v>
      </c>
      <c r="E109" s="6" t="s">
        <v>1546</v>
      </c>
      <c r="F109" s="6" t="s">
        <v>1547</v>
      </c>
      <c r="G109" s="6" t="s">
        <v>332</v>
      </c>
      <c r="H109" s="7" t="s">
        <v>1548</v>
      </c>
      <c r="I109" s="6" t="s">
        <v>1549</v>
      </c>
      <c r="J109" s="6" t="s">
        <v>1550</v>
      </c>
      <c r="K109" s="6" t="s">
        <v>332</v>
      </c>
      <c r="L109" s="7" t="s">
        <v>1551</v>
      </c>
      <c r="M109" s="5">
        <v>45808.0</v>
      </c>
      <c r="N109" s="6" t="s">
        <v>48</v>
      </c>
      <c r="O109" s="6" t="s">
        <v>1552</v>
      </c>
      <c r="P109" s="6" t="s">
        <v>48</v>
      </c>
      <c r="R109" s="6" t="s">
        <v>1553</v>
      </c>
      <c r="S109" s="6" t="s">
        <v>1554</v>
      </c>
      <c r="T109" s="6" t="s">
        <v>386</v>
      </c>
      <c r="U109" s="5">
        <v>43712.0</v>
      </c>
      <c r="V109" s="6" t="s">
        <v>54</v>
      </c>
      <c r="W109" s="6" t="s">
        <v>77</v>
      </c>
      <c r="X109" s="6" t="s">
        <v>102</v>
      </c>
      <c r="Z109" s="6" t="s">
        <v>1555</v>
      </c>
      <c r="AA109" s="6" t="s">
        <v>140</v>
      </c>
      <c r="AB109" s="7" t="s">
        <v>1556</v>
      </c>
      <c r="AD109" s="7" t="s">
        <v>1557</v>
      </c>
      <c r="AE109" s="7" t="s">
        <v>1551</v>
      </c>
      <c r="AG109" s="6" t="s">
        <v>1558</v>
      </c>
      <c r="AH109" s="11" t="str">
        <f t="shared" si="14"/>
        <v>https://drive.google.com/file/d/1pzvbnkqXiNY6F951gJySXkO0Yxh2Jg_h/view?usp=drivesdk</v>
      </c>
      <c r="AJ109" s="6" t="s">
        <v>1560</v>
      </c>
      <c r="AK109" s="6" t="s">
        <v>166</v>
      </c>
      <c r="AL109" s="13"/>
    </row>
    <row r="110" ht="22.5" customHeight="1">
      <c r="A110" s="4">
        <v>45839.56396539352</v>
      </c>
      <c r="B110" s="5">
        <v>45835.0</v>
      </c>
      <c r="C110" s="6" t="s">
        <v>1561</v>
      </c>
      <c r="D110" s="6" t="s">
        <v>1562</v>
      </c>
      <c r="E110" s="6" t="s">
        <v>1563</v>
      </c>
      <c r="F110" s="6" t="s">
        <v>1564</v>
      </c>
      <c r="G110" s="6" t="s">
        <v>332</v>
      </c>
      <c r="H110" s="7" t="s">
        <v>1565</v>
      </c>
      <c r="I110" s="6" t="s">
        <v>1566</v>
      </c>
      <c r="J110" s="6" t="s">
        <v>1567</v>
      </c>
      <c r="K110" s="6" t="s">
        <v>95</v>
      </c>
      <c r="L110" s="7" t="s">
        <v>1568</v>
      </c>
      <c r="M110" s="5">
        <v>45808.0</v>
      </c>
      <c r="N110" s="6" t="s">
        <v>48</v>
      </c>
      <c r="O110" s="6" t="s">
        <v>1569</v>
      </c>
      <c r="P110" s="6" t="s">
        <v>48</v>
      </c>
      <c r="R110" s="6" t="s">
        <v>1570</v>
      </c>
      <c r="S110" s="6" t="s">
        <v>1570</v>
      </c>
      <c r="T110" s="6" t="s">
        <v>101</v>
      </c>
      <c r="U110" s="5">
        <v>43512.0</v>
      </c>
      <c r="V110" s="6" t="s">
        <v>54</v>
      </c>
      <c r="W110" s="6" t="s">
        <v>77</v>
      </c>
      <c r="X110" s="6" t="s">
        <v>102</v>
      </c>
      <c r="Y110" s="6" t="s">
        <v>123</v>
      </c>
      <c r="Z110" s="6" t="s">
        <v>1571</v>
      </c>
      <c r="AA110" s="6" t="s">
        <v>104</v>
      </c>
      <c r="AB110" s="7" t="s">
        <v>306</v>
      </c>
      <c r="AC110" s="6" t="s">
        <v>1572</v>
      </c>
      <c r="AD110" s="7" t="s">
        <v>1565</v>
      </c>
      <c r="AE110" s="7" t="s">
        <v>1568</v>
      </c>
      <c r="AF110" s="6" t="s">
        <v>1573</v>
      </c>
      <c r="AH110" s="10" t="str">
        <f>HYPERLINK("https://drive.google.com/file/d/1SSmRAY9pBvlTXvfZJomT2IQPHY-rHU-E/view?usp=drivesdk", "https://drive.google.com/file/d/1SSmRAY9pBvlTXvfZJomT2IQPHY-rHU-E/view?usp=drivesdk")</f>
        <v>https://drive.google.com/file/d/1SSmRAY9pBvlTXvfZJomT2IQPHY-rHU-E/view?usp=drivesdk</v>
      </c>
      <c r="AK110" s="6" t="s">
        <v>166</v>
      </c>
      <c r="AL110" s="13"/>
    </row>
    <row r="111" ht="22.5" customHeight="1">
      <c r="A111" s="4">
        <v>45839.587991423614</v>
      </c>
      <c r="B111" s="5">
        <v>45835.0</v>
      </c>
      <c r="C111" s="6" t="s">
        <v>1574</v>
      </c>
      <c r="D111" s="6" t="s">
        <v>1575</v>
      </c>
      <c r="E111" s="6" t="s">
        <v>1576</v>
      </c>
      <c r="F111" s="6" t="s">
        <v>589</v>
      </c>
      <c r="G111" s="6" t="s">
        <v>1577</v>
      </c>
      <c r="H111" s="7" t="s">
        <v>1578</v>
      </c>
      <c r="I111" s="6" t="s">
        <v>1579</v>
      </c>
      <c r="J111" s="6" t="s">
        <v>1580</v>
      </c>
      <c r="K111" s="6" t="s">
        <v>1437</v>
      </c>
      <c r="L111" s="7" t="s">
        <v>1581</v>
      </c>
      <c r="M111" s="5">
        <v>45808.0</v>
      </c>
      <c r="N111" s="6" t="s">
        <v>48</v>
      </c>
      <c r="O111" s="6" t="s">
        <v>1582</v>
      </c>
      <c r="P111" s="6" t="s">
        <v>48</v>
      </c>
      <c r="Q111" s="6" t="s">
        <v>1583</v>
      </c>
      <c r="R111" s="6" t="s">
        <v>1584</v>
      </c>
      <c r="S111" s="6" t="s">
        <v>1585</v>
      </c>
      <c r="T111" s="6" t="s">
        <v>887</v>
      </c>
      <c r="U111" s="5">
        <v>43582.0</v>
      </c>
      <c r="V111" s="6" t="s">
        <v>54</v>
      </c>
      <c r="W111" s="6" t="s">
        <v>77</v>
      </c>
      <c r="X111" s="6" t="s">
        <v>102</v>
      </c>
      <c r="Y111" s="6" t="s">
        <v>160</v>
      </c>
      <c r="Z111" s="6" t="s">
        <v>1586</v>
      </c>
      <c r="AA111" s="6" t="s">
        <v>104</v>
      </c>
      <c r="AB111" s="6">
        <v>115.0</v>
      </c>
      <c r="AD111" s="7" t="s">
        <v>1581</v>
      </c>
      <c r="AE111" s="7" t="s">
        <v>1581</v>
      </c>
      <c r="AF111" s="6" t="s">
        <v>1587</v>
      </c>
      <c r="AG111" s="6" t="s">
        <v>1588</v>
      </c>
      <c r="AH111" s="11" t="str">
        <f>HYPERLINK("https://drive.google.com/file/d/1eIX6gvrkfivexuLzI66YgAOJUO3RaFuy/view?usp=drivesdk", "https://drive.google.com/file/d/1eIX6gvrkfivexuLzI66YgAOJUO3RaFuy/view?usp=drivesdk")</f>
        <v>https://drive.google.com/file/d/1eIX6gvrkfivexuLzI66YgAOJUO3RaFuy/view?usp=drivesdk</v>
      </c>
      <c r="AK111" s="6" t="s">
        <v>166</v>
      </c>
      <c r="AL111" s="13"/>
    </row>
    <row r="112" ht="22.5" customHeight="1">
      <c r="A112" s="4">
        <v>45839.587991423614</v>
      </c>
      <c r="B112" s="5">
        <v>45835.0</v>
      </c>
      <c r="C112" s="6" t="s">
        <v>1589</v>
      </c>
      <c r="D112" s="6" t="s">
        <v>1590</v>
      </c>
      <c r="E112" s="6" t="s">
        <v>1576</v>
      </c>
      <c r="F112" s="6" t="s">
        <v>589</v>
      </c>
      <c r="G112" s="6" t="s">
        <v>1577</v>
      </c>
      <c r="H112" s="7" t="s">
        <v>1578</v>
      </c>
      <c r="I112" s="6" t="s">
        <v>1579</v>
      </c>
      <c r="J112" s="6" t="s">
        <v>1580</v>
      </c>
      <c r="K112" s="6" t="s">
        <v>1437</v>
      </c>
      <c r="L112" s="7" t="s">
        <v>1581</v>
      </c>
      <c r="M112" s="5">
        <v>45808.0</v>
      </c>
      <c r="N112" s="6" t="s">
        <v>48</v>
      </c>
      <c r="O112" s="6" t="s">
        <v>1591</v>
      </c>
      <c r="P112" s="6" t="s">
        <v>48</v>
      </c>
      <c r="Q112" s="6" t="s">
        <v>1592</v>
      </c>
      <c r="R112" s="6" t="s">
        <v>1584</v>
      </c>
      <c r="S112" s="6" t="s">
        <v>1585</v>
      </c>
      <c r="T112" s="6" t="s">
        <v>887</v>
      </c>
      <c r="U112" s="5">
        <v>44050.0</v>
      </c>
      <c r="V112" s="6" t="s">
        <v>54</v>
      </c>
      <c r="W112" s="6" t="s">
        <v>77</v>
      </c>
      <c r="X112" s="6" t="s">
        <v>102</v>
      </c>
      <c r="Y112" s="6" t="s">
        <v>160</v>
      </c>
      <c r="Z112" s="6" t="s">
        <v>1586</v>
      </c>
      <c r="AA112" s="6" t="s">
        <v>1593</v>
      </c>
      <c r="AB112" s="6">
        <v>41.0</v>
      </c>
      <c r="AD112" s="7" t="s">
        <v>1581</v>
      </c>
      <c r="AE112" s="7" t="s">
        <v>1581</v>
      </c>
      <c r="AF112" s="6" t="s">
        <v>1587</v>
      </c>
      <c r="AG112" s="6" t="s">
        <v>1588</v>
      </c>
      <c r="AH112" s="10" t="str">
        <f>HYPERLINK("https://drive.google.com/file/d/13xGUQua9lzMRfZjHVrq_l3i2HoFoPyxB/view?usp=drivesdk", "https://drive.google.com/file/d/13xGUQua9lzMRfZjHVrq_l3i2HoFoPyxB/view?usp=drivesdk")</f>
        <v>https://drive.google.com/file/d/13xGUQua9lzMRfZjHVrq_l3i2HoFoPyxB/view?usp=drivesdk</v>
      </c>
      <c r="AK112" s="6" t="s">
        <v>166</v>
      </c>
      <c r="AL112" s="13"/>
    </row>
    <row r="113" ht="22.5" customHeight="1">
      <c r="A113" s="4">
        <v>45839.60742871527</v>
      </c>
      <c r="B113" s="5">
        <v>45835.0</v>
      </c>
      <c r="C113" s="6" t="s">
        <v>1594</v>
      </c>
      <c r="D113" s="6" t="s">
        <v>1595</v>
      </c>
      <c r="E113" s="6" t="s">
        <v>1596</v>
      </c>
      <c r="F113" s="6" t="s">
        <v>1597</v>
      </c>
      <c r="G113" s="6" t="s">
        <v>332</v>
      </c>
      <c r="H113" s="7" t="s">
        <v>1548</v>
      </c>
      <c r="I113" s="6" t="s">
        <v>1549</v>
      </c>
      <c r="J113" s="6" t="s">
        <v>1550</v>
      </c>
      <c r="K113" s="6" t="s">
        <v>332</v>
      </c>
      <c r="L113" s="7" t="s">
        <v>1551</v>
      </c>
      <c r="M113" s="5">
        <v>45808.0</v>
      </c>
      <c r="N113" s="6" t="s">
        <v>504</v>
      </c>
      <c r="O113" s="6" t="s">
        <v>1598</v>
      </c>
      <c r="P113" s="6" t="s">
        <v>504</v>
      </c>
      <c r="Q113" s="6" t="s">
        <v>1599</v>
      </c>
      <c r="R113" s="6" t="s">
        <v>1600</v>
      </c>
      <c r="S113" s="6" t="s">
        <v>1554</v>
      </c>
      <c r="T113" s="6" t="s">
        <v>386</v>
      </c>
      <c r="U113" s="5">
        <v>41674.0</v>
      </c>
      <c r="V113" s="6" t="s">
        <v>54</v>
      </c>
      <c r="W113" s="6" t="s">
        <v>77</v>
      </c>
      <c r="X113" s="6" t="s">
        <v>102</v>
      </c>
      <c r="Z113" s="6" t="s">
        <v>1601</v>
      </c>
      <c r="AA113" s="6" t="s">
        <v>1602</v>
      </c>
      <c r="AB113" s="6">
        <v>16.0</v>
      </c>
      <c r="AD113" s="7" t="s">
        <v>1603</v>
      </c>
      <c r="AE113" s="7" t="s">
        <v>1548</v>
      </c>
      <c r="AF113" s="6" t="s">
        <v>1604</v>
      </c>
      <c r="AG113" s="6" t="s">
        <v>1605</v>
      </c>
      <c r="AH113" s="11" t="str">
        <f>HYPERLINK("https://drive.google.com/file/d/1lmfZCIcwIBGx6BY93XT17MNIdh5ZPzm6/view?usp=drivesdk", "https://drive.google.com/file/d/1lmfZCIcwIBGx6BY93XT17MNIdh5ZPzm6/view?usp=drivesdk")</f>
        <v>https://drive.google.com/file/d/1lmfZCIcwIBGx6BY93XT17MNIdh5ZPzm6/view?usp=drivesdk</v>
      </c>
      <c r="AK113" s="6" t="s">
        <v>166</v>
      </c>
      <c r="AL113" s="13"/>
    </row>
    <row r="114" ht="22.5" customHeight="1">
      <c r="A114" s="4">
        <v>45839.61280361111</v>
      </c>
      <c r="B114" s="5">
        <v>45835.0</v>
      </c>
      <c r="C114" s="6" t="s">
        <v>1606</v>
      </c>
      <c r="D114" s="6" t="s">
        <v>1607</v>
      </c>
      <c r="E114" s="6" t="s">
        <v>312</v>
      </c>
      <c r="F114" s="6" t="s">
        <v>313</v>
      </c>
      <c r="G114" s="6" t="s">
        <v>332</v>
      </c>
      <c r="H114" s="7" t="s">
        <v>1608</v>
      </c>
      <c r="I114" s="6" t="s">
        <v>1609</v>
      </c>
      <c r="J114" s="6" t="s">
        <v>1610</v>
      </c>
      <c r="K114" s="6" t="s">
        <v>91</v>
      </c>
      <c r="L114" s="7" t="s">
        <v>1611</v>
      </c>
      <c r="M114" s="5">
        <v>45808.0</v>
      </c>
      <c r="N114" s="6" t="s">
        <v>504</v>
      </c>
      <c r="O114" s="6" t="s">
        <v>1612</v>
      </c>
      <c r="P114" s="6" t="s">
        <v>504</v>
      </c>
      <c r="Q114" s="6" t="s">
        <v>1613</v>
      </c>
      <c r="R114" s="6" t="s">
        <v>1614</v>
      </c>
      <c r="S114" s="6" t="s">
        <v>1615</v>
      </c>
      <c r="T114" s="6" t="s">
        <v>1443</v>
      </c>
      <c r="U114" s="5">
        <v>42687.0</v>
      </c>
      <c r="V114" s="6" t="s">
        <v>54</v>
      </c>
      <c r="W114" s="6" t="s">
        <v>77</v>
      </c>
      <c r="X114" s="6" t="s">
        <v>102</v>
      </c>
      <c r="Y114" s="6" t="s">
        <v>123</v>
      </c>
      <c r="Z114" s="6" t="s">
        <v>1616</v>
      </c>
      <c r="AA114" s="6" t="s">
        <v>672</v>
      </c>
      <c r="AB114" s="6">
        <v>3089.0</v>
      </c>
      <c r="AC114" s="6" t="s">
        <v>1617</v>
      </c>
      <c r="AD114" s="7" t="s">
        <v>1608</v>
      </c>
      <c r="AE114" s="7" t="s">
        <v>1608</v>
      </c>
      <c r="AF114" s="6" t="s">
        <v>1618</v>
      </c>
      <c r="AH114" s="10" t="str">
        <f>HYPERLINK("https://drive.google.com/file/d/1vzQEc-yyqCSWSGKi-m8ltYiVq9d6T7yI/view?usp=drivesdk", "https://drive.google.com/file/d/1vzQEc-yyqCSWSGKi-m8ltYiVq9d6T7yI/view?usp=drivesdk")</f>
        <v>https://drive.google.com/file/d/1vzQEc-yyqCSWSGKi-m8ltYiVq9d6T7yI/view?usp=drivesdk</v>
      </c>
      <c r="AK114" s="6" t="s">
        <v>166</v>
      </c>
      <c r="AL114" s="13"/>
    </row>
    <row r="115" ht="22.5" customHeight="1">
      <c r="A115" s="4">
        <v>45839.619693437504</v>
      </c>
      <c r="B115" s="5">
        <v>45835.0</v>
      </c>
      <c r="C115" s="6" t="s">
        <v>1619</v>
      </c>
      <c r="D115" s="6" t="s">
        <v>1620</v>
      </c>
      <c r="E115" s="6" t="s">
        <v>1621</v>
      </c>
      <c r="F115" s="6" t="s">
        <v>1622</v>
      </c>
      <c r="G115" s="6" t="s">
        <v>332</v>
      </c>
      <c r="H115" s="7" t="s">
        <v>1623</v>
      </c>
      <c r="I115" s="6" t="s">
        <v>1624</v>
      </c>
      <c r="J115" s="6" t="s">
        <v>1625</v>
      </c>
      <c r="K115" s="6" t="s">
        <v>332</v>
      </c>
      <c r="L115" s="7" t="s">
        <v>1626</v>
      </c>
      <c r="M115" s="5">
        <v>45808.0</v>
      </c>
      <c r="N115" s="6" t="s">
        <v>48</v>
      </c>
      <c r="O115" s="6" t="s">
        <v>1627</v>
      </c>
      <c r="P115" s="6" t="s">
        <v>48</v>
      </c>
      <c r="Q115" s="6" t="s">
        <v>1628</v>
      </c>
      <c r="R115" s="6" t="s">
        <v>1629</v>
      </c>
      <c r="S115" s="6" t="s">
        <v>1630</v>
      </c>
      <c r="T115" s="6" t="s">
        <v>1631</v>
      </c>
      <c r="U115" s="5">
        <v>43775.0</v>
      </c>
      <c r="V115" s="6" t="s">
        <v>54</v>
      </c>
      <c r="W115" s="6" t="s">
        <v>77</v>
      </c>
      <c r="X115" s="6" t="s">
        <v>102</v>
      </c>
      <c r="Y115" s="6" t="s">
        <v>160</v>
      </c>
      <c r="Z115" s="6" t="s">
        <v>1632</v>
      </c>
      <c r="AA115" s="6" t="s">
        <v>900</v>
      </c>
      <c r="AB115" s="6">
        <v>23.0</v>
      </c>
      <c r="AD115" s="7" t="s">
        <v>1626</v>
      </c>
      <c r="AE115" s="7" t="s">
        <v>1623</v>
      </c>
      <c r="AF115" s="6" t="s">
        <v>1633</v>
      </c>
      <c r="AG115" s="6" t="s">
        <v>1634</v>
      </c>
      <c r="AH115" s="11" t="str">
        <f>HYPERLINK("https://drive.google.com/file/d/1arMIfD3LlsNE1-eaKrMwRlcIX1T3P72A/view?usp=drivesdk", "https://drive.google.com/file/d/1arMIfD3LlsNE1-eaKrMwRlcIX1T3P72A/view?usp=drivesdk")</f>
        <v>https://drive.google.com/file/d/1arMIfD3LlsNE1-eaKrMwRlcIX1T3P72A/view?usp=drivesdk</v>
      </c>
      <c r="AK115" s="6" t="s">
        <v>166</v>
      </c>
      <c r="AL115" s="13"/>
    </row>
    <row r="116" ht="22.5" customHeight="1">
      <c r="A116" s="4">
        <v>45839.62632539352</v>
      </c>
      <c r="B116" s="5">
        <v>45835.0</v>
      </c>
      <c r="C116" s="6" t="s">
        <v>1635</v>
      </c>
      <c r="D116" s="6" t="s">
        <v>1636</v>
      </c>
      <c r="E116" s="6" t="s">
        <v>1637</v>
      </c>
      <c r="F116" s="6" t="s">
        <v>1638</v>
      </c>
      <c r="G116" s="6" t="s">
        <v>91</v>
      </c>
      <c r="H116" s="7" t="s">
        <v>1639</v>
      </c>
      <c r="I116" s="6" t="s">
        <v>1640</v>
      </c>
      <c r="J116" s="6" t="s">
        <v>1641</v>
      </c>
      <c r="K116" s="6" t="s">
        <v>336</v>
      </c>
      <c r="L116" s="7" t="s">
        <v>1642</v>
      </c>
      <c r="M116" s="5">
        <v>45808.0</v>
      </c>
      <c r="N116" s="6" t="s">
        <v>48</v>
      </c>
      <c r="O116" s="6" t="s">
        <v>1643</v>
      </c>
      <c r="P116" s="6" t="s">
        <v>48</v>
      </c>
      <c r="Q116" s="6">
        <v>2.865217331E9</v>
      </c>
      <c r="R116" s="6" t="s">
        <v>1644</v>
      </c>
      <c r="S116" s="6" t="s">
        <v>1645</v>
      </c>
      <c r="T116" s="6" t="s">
        <v>1443</v>
      </c>
      <c r="U116" s="5">
        <v>36891.0</v>
      </c>
      <c r="V116" s="6" t="s">
        <v>54</v>
      </c>
      <c r="W116" s="6" t="s">
        <v>77</v>
      </c>
      <c r="X116" s="6" t="s">
        <v>102</v>
      </c>
      <c r="Y116" s="6" t="s">
        <v>160</v>
      </c>
      <c r="Z116" s="6" t="s">
        <v>1646</v>
      </c>
      <c r="AA116" s="6" t="s">
        <v>1647</v>
      </c>
      <c r="AB116" s="6">
        <v>2.02014069E8</v>
      </c>
      <c r="AC116" s="6" t="s">
        <v>1648</v>
      </c>
      <c r="AD116" s="7" t="s">
        <v>1649</v>
      </c>
      <c r="AE116" s="7" t="s">
        <v>1649</v>
      </c>
      <c r="AF116" s="6" t="s">
        <v>1650</v>
      </c>
      <c r="AH116" s="10" t="str">
        <f>HYPERLINK("https://drive.google.com/file/d/1xXzrMECcf9e16dNCcYAO3WofSQZvSpAR/view?usp=drivesdk", "https://drive.google.com/file/d/1xXzrMECcf9e16dNCcYAO3WofSQZvSpAR/view?usp=drivesdk")</f>
        <v>https://drive.google.com/file/d/1xXzrMECcf9e16dNCcYAO3WofSQZvSpAR/view?usp=drivesdk</v>
      </c>
      <c r="AK116" s="6" t="s">
        <v>166</v>
      </c>
      <c r="AL116" s="13"/>
    </row>
    <row r="117" ht="22.5" customHeight="1">
      <c r="A117" s="4">
        <v>45839.631691296294</v>
      </c>
      <c r="B117" s="5">
        <v>45835.0</v>
      </c>
      <c r="C117" s="6" t="s">
        <v>1651</v>
      </c>
      <c r="D117" s="6" t="s">
        <v>1652</v>
      </c>
      <c r="E117" s="6" t="s">
        <v>1653</v>
      </c>
      <c r="F117" s="6" t="s">
        <v>1654</v>
      </c>
      <c r="G117" s="6" t="s">
        <v>809</v>
      </c>
      <c r="H117" s="7" t="s">
        <v>1655</v>
      </c>
      <c r="I117" s="6" t="s">
        <v>1656</v>
      </c>
      <c r="J117" s="6" t="s">
        <v>1657</v>
      </c>
      <c r="K117" s="6" t="s">
        <v>336</v>
      </c>
      <c r="L117" s="7" t="s">
        <v>1658</v>
      </c>
      <c r="M117" s="5">
        <v>45808.0</v>
      </c>
      <c r="N117" s="6" t="s">
        <v>48</v>
      </c>
      <c r="O117" s="6" t="s">
        <v>1659</v>
      </c>
      <c r="P117" s="6" t="s">
        <v>48</v>
      </c>
      <c r="Q117" s="6" t="s">
        <v>1660</v>
      </c>
      <c r="R117" s="6" t="s">
        <v>1661</v>
      </c>
      <c r="S117" s="6" t="s">
        <v>1662</v>
      </c>
      <c r="T117" s="6" t="s">
        <v>1663</v>
      </c>
      <c r="U117" s="5">
        <v>42552.0</v>
      </c>
      <c r="V117" s="6" t="s">
        <v>54</v>
      </c>
      <c r="W117" s="6" t="s">
        <v>55</v>
      </c>
      <c r="X117" s="6" t="s">
        <v>102</v>
      </c>
      <c r="Y117" s="6" t="s">
        <v>78</v>
      </c>
      <c r="Z117" s="6" t="s">
        <v>1664</v>
      </c>
      <c r="AA117" s="6" t="s">
        <v>672</v>
      </c>
      <c r="AB117" s="6">
        <v>30.0</v>
      </c>
      <c r="AC117" s="6" t="s">
        <v>1665</v>
      </c>
      <c r="AD117" s="7" t="s">
        <v>1666</v>
      </c>
      <c r="AE117" s="7" t="s">
        <v>1655</v>
      </c>
      <c r="AH117" s="11" t="str">
        <f>HYPERLINK("https://drive.google.com/file/d/1IEb3zRzan0F3jEXDPJzGGPfypmPL8ZxJ/view?usp=drivesdk", "https://drive.google.com/file/d/1IEb3zRzan0F3jEXDPJzGGPfypmPL8ZxJ/view?usp=drivesdk")</f>
        <v>https://drive.google.com/file/d/1IEb3zRzan0F3jEXDPJzGGPfypmPL8ZxJ/view?usp=drivesdk</v>
      </c>
      <c r="AK117" s="6" t="s">
        <v>166</v>
      </c>
      <c r="AL117" s="13"/>
    </row>
    <row r="118" ht="22.5" customHeight="1">
      <c r="A118" s="4">
        <v>45841.75638784722</v>
      </c>
      <c r="B118" s="5">
        <v>45287.0</v>
      </c>
      <c r="C118" s="6" t="s">
        <v>1667</v>
      </c>
      <c r="D118" s="6" t="s">
        <v>1668</v>
      </c>
      <c r="E118" s="6" t="s">
        <v>1669</v>
      </c>
      <c r="F118" s="6" t="s">
        <v>1670</v>
      </c>
      <c r="G118" s="6" t="s">
        <v>42</v>
      </c>
      <c r="H118" s="7" t="s">
        <v>1671</v>
      </c>
      <c r="I118" s="6" t="s">
        <v>1672</v>
      </c>
      <c r="J118" s="6" t="s">
        <v>1673</v>
      </c>
      <c r="K118" s="6" t="s">
        <v>46</v>
      </c>
      <c r="L118" s="7" t="s">
        <v>1674</v>
      </c>
      <c r="M118" s="5">
        <v>45808.0</v>
      </c>
      <c r="N118" s="6" t="s">
        <v>48</v>
      </c>
      <c r="O118" s="6" t="s">
        <v>1675</v>
      </c>
      <c r="P118" s="6" t="s">
        <v>48</v>
      </c>
      <c r="R118" s="6" t="s">
        <v>1676</v>
      </c>
      <c r="S118" s="6" t="s">
        <v>1677</v>
      </c>
      <c r="T118" s="6" t="s">
        <v>802</v>
      </c>
      <c r="U118" s="5">
        <v>43596.0</v>
      </c>
      <c r="V118" s="6" t="s">
        <v>54</v>
      </c>
      <c r="W118" s="6" t="s">
        <v>55</v>
      </c>
      <c r="X118" s="6" t="s">
        <v>102</v>
      </c>
      <c r="Y118" s="6" t="s">
        <v>160</v>
      </c>
      <c r="Z118" s="6" t="s">
        <v>1678</v>
      </c>
      <c r="AA118" s="6" t="s">
        <v>104</v>
      </c>
      <c r="AB118" s="6">
        <v>1.0</v>
      </c>
      <c r="AD118" s="7" t="s">
        <v>1671</v>
      </c>
      <c r="AE118" s="7" t="s">
        <v>1671</v>
      </c>
      <c r="AH118" s="10" t="str">
        <f>HYPERLINK("https://drive.google.com/file/d/1BAHSFSkJS0M4zUOOnBdYuQ7XFqHDnGHg/view?usp=drivesdk", "https://drive.google.com/file/d/1BAHSFSkJS0M4zUOOnBdYuQ7XFqHDnGHg/view?usp=drivesdk")</f>
        <v>https://drive.google.com/file/d/1BAHSFSkJS0M4zUOOnBdYuQ7XFqHDnGHg/view?usp=drivesdk</v>
      </c>
      <c r="AJ118" s="6" t="s">
        <v>1679</v>
      </c>
      <c r="AK118" s="6" t="s">
        <v>61</v>
      </c>
      <c r="AL118" s="13"/>
    </row>
    <row r="119" ht="22.5" customHeight="1">
      <c r="A119" s="4">
        <v>45843.51990673611</v>
      </c>
      <c r="B119" s="5">
        <v>44927.0</v>
      </c>
      <c r="C119" s="6" t="s">
        <v>1680</v>
      </c>
      <c r="D119" s="6" t="s">
        <v>1681</v>
      </c>
      <c r="E119" s="6" t="s">
        <v>1682</v>
      </c>
      <c r="F119" s="6" t="s">
        <v>1683</v>
      </c>
      <c r="G119" s="6" t="s">
        <v>377</v>
      </c>
      <c r="H119" s="7" t="s">
        <v>1684</v>
      </c>
      <c r="I119" s="6" t="s">
        <v>1685</v>
      </c>
      <c r="J119" s="6" t="s">
        <v>1686</v>
      </c>
      <c r="K119" s="6" t="s">
        <v>336</v>
      </c>
      <c r="L119" s="7" t="s">
        <v>1687</v>
      </c>
      <c r="M119" s="5">
        <v>45808.0</v>
      </c>
      <c r="N119" s="6" t="s">
        <v>48</v>
      </c>
      <c r="O119" s="6" t="s">
        <v>1688</v>
      </c>
      <c r="P119" s="6" t="s">
        <v>48</v>
      </c>
      <c r="Q119" s="6" t="s">
        <v>1689</v>
      </c>
      <c r="R119" s="6" t="s">
        <v>1690</v>
      </c>
      <c r="S119" s="6" t="s">
        <v>1691</v>
      </c>
      <c r="T119" s="6" t="s">
        <v>1692</v>
      </c>
      <c r="U119" s="5">
        <v>42079.0</v>
      </c>
      <c r="V119" s="6" t="s">
        <v>54</v>
      </c>
      <c r="W119" s="6" t="s">
        <v>55</v>
      </c>
      <c r="X119" s="6" t="s">
        <v>102</v>
      </c>
      <c r="Y119" s="6" t="s">
        <v>160</v>
      </c>
      <c r="Z119" s="6" t="s">
        <v>79</v>
      </c>
      <c r="AA119" s="6" t="s">
        <v>370</v>
      </c>
      <c r="AB119" s="6">
        <v>15.0</v>
      </c>
      <c r="AD119" s="7" t="s">
        <v>1687</v>
      </c>
      <c r="AE119" s="6">
        <v>1.7311273072E10</v>
      </c>
      <c r="AH119" s="11" t="str">
        <f>HYPERLINK("https://drive.google.com/file/d/1jbMAPXfDGV2LngJyA1Ty42u7-nAlnO0B/view?usp=drivesdk", "https://drive.google.com/file/d/1jbMAPXfDGV2LngJyA1Ty42u7-nAlnO0B/view?usp=drivesdk")</f>
        <v>https://drive.google.com/file/d/1jbMAPXfDGV2LngJyA1Ty42u7-nAlnO0B/view?usp=drivesdk</v>
      </c>
      <c r="AJ119" s="6" t="s">
        <v>1693</v>
      </c>
      <c r="AK119" s="6" t="s">
        <v>61</v>
      </c>
      <c r="AL119" s="13"/>
    </row>
    <row r="120" ht="22.5" customHeight="1">
      <c r="A120" s="4">
        <v>45844.26288648148</v>
      </c>
      <c r="B120" s="5">
        <v>44904.0</v>
      </c>
      <c r="C120" s="6" t="s">
        <v>1694</v>
      </c>
      <c r="D120" s="6" t="s">
        <v>1695</v>
      </c>
      <c r="E120" s="6" t="s">
        <v>1696</v>
      </c>
      <c r="F120" s="6" t="s">
        <v>1697</v>
      </c>
      <c r="G120" s="6" t="s">
        <v>208</v>
      </c>
      <c r="H120" s="7" t="s">
        <v>1698</v>
      </c>
      <c r="I120" s="6" t="s">
        <v>1699</v>
      </c>
      <c r="J120" s="6" t="s">
        <v>1700</v>
      </c>
      <c r="K120" s="6" t="s">
        <v>336</v>
      </c>
      <c r="L120" s="7" t="s">
        <v>1701</v>
      </c>
      <c r="M120" s="5">
        <v>45808.0</v>
      </c>
      <c r="N120" s="6" t="s">
        <v>48</v>
      </c>
      <c r="O120" s="6" t="s">
        <v>1702</v>
      </c>
      <c r="P120" s="6" t="s">
        <v>48</v>
      </c>
      <c r="Q120" s="6" t="s">
        <v>1703</v>
      </c>
      <c r="R120" s="6" t="s">
        <v>1704</v>
      </c>
      <c r="S120" s="6" t="s">
        <v>1705</v>
      </c>
      <c r="T120" s="6" t="s">
        <v>1333</v>
      </c>
      <c r="U120" s="5">
        <v>43352.0</v>
      </c>
      <c r="V120" s="6" t="s">
        <v>54</v>
      </c>
      <c r="W120" s="6" t="s">
        <v>55</v>
      </c>
      <c r="X120" s="6" t="s">
        <v>102</v>
      </c>
      <c r="Y120" s="6" t="s">
        <v>123</v>
      </c>
      <c r="Z120" s="6" t="s">
        <v>1706</v>
      </c>
      <c r="AA120" s="6" t="s">
        <v>900</v>
      </c>
      <c r="AB120" s="6">
        <v>1.0</v>
      </c>
      <c r="AC120" s="6" t="s">
        <v>1707</v>
      </c>
      <c r="AD120" s="7" t="s">
        <v>1701</v>
      </c>
      <c r="AE120" s="7" t="s">
        <v>1701</v>
      </c>
      <c r="AF120" s="6" t="s">
        <v>1708</v>
      </c>
      <c r="AG120" s="6" t="s">
        <v>1709</v>
      </c>
      <c r="AH120" s="10" t="str">
        <f t="shared" ref="AH120:AH121" si="15">HYPERLINK("https://drive.google.com/file/d/1fRQ4YW3cgXbuv5LS-_t2ivyvpP0mlIIf/view?usp=drivesdk", "https://drive.google.com/file/d/1fRQ4YW3cgXbuv5LS-_t2ivyvpP0mlIIf/view?usp=drivesdk")</f>
        <v>https://drive.google.com/file/d/1fRQ4YW3cgXbuv5LS-_t2ivyvpP0mlIIf/view?usp=drivesdk</v>
      </c>
      <c r="AJ120" s="6" t="s">
        <v>1710</v>
      </c>
      <c r="AK120" s="6" t="s">
        <v>61</v>
      </c>
      <c r="AL120" s="13"/>
    </row>
    <row r="121" ht="22.5" customHeight="1">
      <c r="A121" s="4">
        <v>45844.272066087964</v>
      </c>
      <c r="B121" s="5">
        <v>44904.0</v>
      </c>
      <c r="C121" s="6" t="s">
        <v>1711</v>
      </c>
      <c r="D121" s="6" t="s">
        <v>1695</v>
      </c>
      <c r="E121" s="6" t="s">
        <v>1696</v>
      </c>
      <c r="F121" s="6" t="s">
        <v>1697</v>
      </c>
      <c r="G121" s="6" t="s">
        <v>208</v>
      </c>
      <c r="H121" s="7" t="s">
        <v>1698</v>
      </c>
      <c r="I121" s="6" t="s">
        <v>1712</v>
      </c>
      <c r="J121" s="6" t="s">
        <v>1700</v>
      </c>
      <c r="K121" s="6" t="s">
        <v>336</v>
      </c>
      <c r="L121" s="7" t="s">
        <v>1701</v>
      </c>
      <c r="M121" s="5">
        <v>45808.0</v>
      </c>
      <c r="N121" s="6" t="s">
        <v>504</v>
      </c>
      <c r="O121" s="6" t="s">
        <v>1702</v>
      </c>
      <c r="P121" s="6" t="s">
        <v>504</v>
      </c>
      <c r="Q121" s="6" t="s">
        <v>1703</v>
      </c>
      <c r="R121" s="6" t="s">
        <v>1704</v>
      </c>
      <c r="S121" s="6" t="s">
        <v>1705</v>
      </c>
      <c r="T121" s="6" t="s">
        <v>1333</v>
      </c>
      <c r="U121" s="5">
        <v>43352.0</v>
      </c>
      <c r="V121" s="6" t="s">
        <v>54</v>
      </c>
      <c r="W121" s="6" t="s">
        <v>55</v>
      </c>
      <c r="X121" s="6" t="s">
        <v>102</v>
      </c>
      <c r="Y121" s="6" t="s">
        <v>123</v>
      </c>
      <c r="Z121" s="6" t="s">
        <v>1713</v>
      </c>
      <c r="AA121" s="6" t="s">
        <v>104</v>
      </c>
      <c r="AB121" s="6">
        <v>1.0</v>
      </c>
      <c r="AC121" s="6" t="s">
        <v>1714</v>
      </c>
      <c r="AD121" s="7" t="s">
        <v>1701</v>
      </c>
      <c r="AE121" s="7" t="s">
        <v>1701</v>
      </c>
      <c r="AF121" s="6" t="s">
        <v>1708</v>
      </c>
      <c r="AG121" s="6" t="s">
        <v>1709</v>
      </c>
      <c r="AH121" s="11" t="str">
        <f t="shared" si="15"/>
        <v>https://drive.google.com/file/d/1fRQ4YW3cgXbuv5LS-_t2ivyvpP0mlIIf/view?usp=drivesdk</v>
      </c>
      <c r="AJ121" s="6" t="s">
        <v>1715</v>
      </c>
      <c r="AK121" s="6" t="s">
        <v>61</v>
      </c>
      <c r="AL121" s="13"/>
    </row>
    <row r="122" ht="22.5" customHeight="1">
      <c r="A122" s="4">
        <v>45844.29695153935</v>
      </c>
      <c r="B122" s="5">
        <v>44497.0</v>
      </c>
      <c r="C122" s="6" t="s">
        <v>1716</v>
      </c>
      <c r="D122" s="6" t="s">
        <v>1717</v>
      </c>
      <c r="E122" s="6" t="s">
        <v>1718</v>
      </c>
      <c r="F122" s="6" t="s">
        <v>1719</v>
      </c>
      <c r="G122" s="6" t="s">
        <v>91</v>
      </c>
      <c r="H122" s="7" t="s">
        <v>1720</v>
      </c>
      <c r="I122" s="6" t="s">
        <v>1721</v>
      </c>
      <c r="J122" s="6" t="s">
        <v>1722</v>
      </c>
      <c r="K122" s="6" t="s">
        <v>46</v>
      </c>
      <c r="L122" s="7" t="s">
        <v>1723</v>
      </c>
      <c r="M122" s="5">
        <v>45808.0</v>
      </c>
      <c r="N122" s="6" t="s">
        <v>504</v>
      </c>
      <c r="O122" s="6" t="s">
        <v>1724</v>
      </c>
      <c r="P122" s="6" t="s">
        <v>504</v>
      </c>
      <c r="Q122" s="6" t="s">
        <v>1725</v>
      </c>
      <c r="R122" s="6" t="s">
        <v>1726</v>
      </c>
      <c r="S122" s="6" t="s">
        <v>1727</v>
      </c>
      <c r="T122" s="6" t="s">
        <v>1728</v>
      </c>
      <c r="U122" s="5">
        <v>43343.0</v>
      </c>
      <c r="V122" s="6" t="s">
        <v>54</v>
      </c>
      <c r="W122" s="6" t="s">
        <v>55</v>
      </c>
      <c r="X122" s="6" t="s">
        <v>102</v>
      </c>
      <c r="Y122" s="6" t="s">
        <v>160</v>
      </c>
      <c r="Z122" s="6" t="s">
        <v>1729</v>
      </c>
      <c r="AA122" s="6" t="s">
        <v>672</v>
      </c>
      <c r="AB122" s="6">
        <v>56.0</v>
      </c>
      <c r="AD122" s="7" t="s">
        <v>1730</v>
      </c>
      <c r="AE122" s="7" t="s">
        <v>1730</v>
      </c>
      <c r="AF122" s="6" t="s">
        <v>1731</v>
      </c>
      <c r="AH122" s="10" t="str">
        <f t="shared" ref="AH122:AH123" si="16">HYPERLINK("https://drive.google.com/file/d/18BM4w5f8rRrtfDdlH5CSMFAwU_pA3K4B/view?usp=drivesdk", "https://drive.google.com/file/d/18BM4w5f8rRrtfDdlH5CSMFAwU_pA3K4B/view?usp=drivesdk")</f>
        <v>https://drive.google.com/file/d/18BM4w5f8rRrtfDdlH5CSMFAwU_pA3K4B/view?usp=drivesdk</v>
      </c>
      <c r="AJ122" s="6" t="s">
        <v>1732</v>
      </c>
      <c r="AK122" s="6" t="s">
        <v>61</v>
      </c>
      <c r="AL122" s="13"/>
    </row>
    <row r="123" ht="22.5" customHeight="1">
      <c r="A123" s="4">
        <v>45844.302872314816</v>
      </c>
      <c r="B123" s="5">
        <v>44497.0</v>
      </c>
      <c r="C123" s="6" t="s">
        <v>1716</v>
      </c>
      <c r="D123" s="6" t="s">
        <v>1717</v>
      </c>
      <c r="E123" s="6" t="s">
        <v>1733</v>
      </c>
      <c r="F123" s="6" t="s">
        <v>1719</v>
      </c>
      <c r="G123" s="6" t="s">
        <v>91</v>
      </c>
      <c r="H123" s="7" t="s">
        <v>1720</v>
      </c>
      <c r="I123" s="6" t="s">
        <v>1721</v>
      </c>
      <c r="J123" s="6" t="s">
        <v>1722</v>
      </c>
      <c r="K123" s="6" t="s">
        <v>336</v>
      </c>
      <c r="L123" s="7" t="s">
        <v>1723</v>
      </c>
      <c r="M123" s="5">
        <v>45808.0</v>
      </c>
      <c r="N123" s="6" t="s">
        <v>48</v>
      </c>
      <c r="O123" s="6" t="s">
        <v>1724</v>
      </c>
      <c r="P123" s="6" t="s">
        <v>48</v>
      </c>
      <c r="Q123" s="6" t="s">
        <v>1725</v>
      </c>
      <c r="R123" s="6" t="s">
        <v>1734</v>
      </c>
      <c r="S123" s="6" t="s">
        <v>1735</v>
      </c>
      <c r="T123" s="6" t="s">
        <v>1728</v>
      </c>
      <c r="U123" s="5">
        <v>43343.0</v>
      </c>
      <c r="V123" s="6" t="s">
        <v>54</v>
      </c>
      <c r="W123" s="6" t="s">
        <v>55</v>
      </c>
      <c r="X123" s="6" t="s">
        <v>102</v>
      </c>
      <c r="Y123" s="6" t="s">
        <v>160</v>
      </c>
      <c r="Z123" s="6" t="s">
        <v>1729</v>
      </c>
      <c r="AA123" s="6" t="s">
        <v>672</v>
      </c>
      <c r="AB123" s="6">
        <v>56.0</v>
      </c>
      <c r="AD123" s="7" t="s">
        <v>1730</v>
      </c>
      <c r="AE123" s="7" t="s">
        <v>1730</v>
      </c>
      <c r="AF123" s="6" t="s">
        <v>1731</v>
      </c>
      <c r="AG123" s="6" t="s">
        <v>1736</v>
      </c>
      <c r="AH123" s="11" t="str">
        <f t="shared" si="16"/>
        <v>https://drive.google.com/file/d/18BM4w5f8rRrtfDdlH5CSMFAwU_pA3K4B/view?usp=drivesdk</v>
      </c>
      <c r="AJ123" s="6" t="s">
        <v>1737</v>
      </c>
      <c r="AK123" s="6" t="s">
        <v>61</v>
      </c>
      <c r="AL123" s="13"/>
    </row>
    <row r="124" ht="22.5" customHeight="1">
      <c r="A124" s="4">
        <v>45845.663298506945</v>
      </c>
      <c r="B124" s="5">
        <v>45414.0</v>
      </c>
      <c r="C124" s="6" t="s">
        <v>1738</v>
      </c>
      <c r="D124" s="6" t="s">
        <v>1739</v>
      </c>
      <c r="E124" s="6" t="s">
        <v>1740</v>
      </c>
      <c r="F124" s="6" t="s">
        <v>1741</v>
      </c>
      <c r="G124" s="6" t="s">
        <v>377</v>
      </c>
      <c r="H124" s="7" t="s">
        <v>1742</v>
      </c>
      <c r="I124" s="6" t="s">
        <v>1743</v>
      </c>
      <c r="J124" s="6" t="s">
        <v>1744</v>
      </c>
      <c r="K124" s="6" t="s">
        <v>336</v>
      </c>
      <c r="L124" s="7" t="s">
        <v>1745</v>
      </c>
      <c r="M124" s="5">
        <v>45808.0</v>
      </c>
      <c r="N124" s="6" t="s">
        <v>71</v>
      </c>
      <c r="O124" s="6" t="s">
        <v>1746</v>
      </c>
      <c r="P124" s="6" t="s">
        <v>48</v>
      </c>
      <c r="R124" s="6" t="s">
        <v>1747</v>
      </c>
      <c r="S124" s="6" t="s">
        <v>1748</v>
      </c>
      <c r="T124" s="6" t="s">
        <v>599</v>
      </c>
      <c r="U124" s="5">
        <v>43228.0</v>
      </c>
      <c r="V124" s="6" t="s">
        <v>54</v>
      </c>
      <c r="W124" s="6" t="s">
        <v>77</v>
      </c>
      <c r="X124" s="6" t="s">
        <v>102</v>
      </c>
      <c r="Y124" s="6" t="s">
        <v>123</v>
      </c>
      <c r="Z124" s="6" t="s">
        <v>1749</v>
      </c>
      <c r="AA124" s="6" t="s">
        <v>672</v>
      </c>
      <c r="AB124" s="6">
        <v>9.0</v>
      </c>
      <c r="AC124" s="6" t="s">
        <v>1750</v>
      </c>
      <c r="AD124" s="7" t="s">
        <v>1742</v>
      </c>
      <c r="AE124" s="7" t="s">
        <v>1745</v>
      </c>
      <c r="AH124" s="10" t="str">
        <f>HYPERLINK("https://drive.google.com/file/d/1M_XKZv0UHySRmhyjPtfDl_oqQXaBd_EN/view?usp=drivesdk", "https://drive.google.com/file/d/1M_XKZv0UHySRmhyjPtfDl_oqQXaBd_EN/view?usp=drivesdk")</f>
        <v>https://drive.google.com/file/d/1M_XKZv0UHySRmhyjPtfDl_oqQXaBd_EN/view?usp=drivesdk</v>
      </c>
      <c r="AJ124" s="6" t="s">
        <v>1751</v>
      </c>
      <c r="AK124" s="6" t="s">
        <v>61</v>
      </c>
      <c r="AL124" s="13"/>
    </row>
    <row r="125" ht="22.5" customHeight="1">
      <c r="A125" s="4">
        <v>45845.68411501157</v>
      </c>
      <c r="B125" s="5">
        <v>44932.0</v>
      </c>
      <c r="C125" s="6" t="s">
        <v>1752</v>
      </c>
      <c r="D125" s="6" t="s">
        <v>1753</v>
      </c>
      <c r="E125" s="6" t="s">
        <v>1754</v>
      </c>
      <c r="F125" s="6" t="s">
        <v>1755</v>
      </c>
      <c r="G125" s="6" t="s">
        <v>150</v>
      </c>
      <c r="H125" s="7" t="s">
        <v>1756</v>
      </c>
      <c r="I125" s="6" t="s">
        <v>1757</v>
      </c>
      <c r="J125" s="6" t="s">
        <v>1758</v>
      </c>
      <c r="K125" s="6" t="s">
        <v>154</v>
      </c>
      <c r="L125" s="7" t="s">
        <v>1759</v>
      </c>
      <c r="M125" s="5">
        <v>45808.0</v>
      </c>
      <c r="N125" s="6" t="s">
        <v>71</v>
      </c>
      <c r="O125" s="6" t="s">
        <v>1760</v>
      </c>
      <c r="P125" s="6" t="s">
        <v>48</v>
      </c>
      <c r="Q125" s="6" t="s">
        <v>1761</v>
      </c>
      <c r="R125" s="6" t="s">
        <v>1762</v>
      </c>
      <c r="S125" s="6" t="s">
        <v>1763</v>
      </c>
      <c r="T125" s="6" t="s">
        <v>101</v>
      </c>
      <c r="U125" s="5">
        <v>40413.0</v>
      </c>
      <c r="V125" s="6" t="s">
        <v>54</v>
      </c>
      <c r="W125" s="6" t="s">
        <v>77</v>
      </c>
      <c r="X125" s="6" t="s">
        <v>102</v>
      </c>
      <c r="Y125" s="6" t="s">
        <v>123</v>
      </c>
      <c r="Z125" s="6" t="s">
        <v>1764</v>
      </c>
      <c r="AA125" s="6" t="s">
        <v>1765</v>
      </c>
      <c r="AB125" s="6">
        <v>7.0</v>
      </c>
      <c r="AC125" s="6" t="s">
        <v>1766</v>
      </c>
      <c r="AD125" s="7" t="s">
        <v>1767</v>
      </c>
      <c r="AE125" s="7" t="s">
        <v>1759</v>
      </c>
      <c r="AH125" s="8" t="str">
        <f>HYPERLINK("https://drive.google.com/file/d/1qv40zP8czP29tAKohYIeckS0it_HAE9_/view?usp=drivesdk", "https://drive.google.com/file/d/1qv40zP8czP29tAKohYIeckS0it_HAE9_/view?usp=drivesdk")</f>
        <v>https://drive.google.com/file/d/1qv40zP8czP29tAKohYIeckS0it_HAE9_/view?usp=drivesdk</v>
      </c>
      <c r="AJ125" s="6" t="s">
        <v>1693</v>
      </c>
      <c r="AK125" s="6" t="s">
        <v>61</v>
      </c>
      <c r="AL125" s="16"/>
    </row>
    <row r="126" ht="22.5" customHeight="1">
      <c r="A126" s="4">
        <v>45845.77740644676</v>
      </c>
      <c r="B126" s="5">
        <v>44932.0</v>
      </c>
      <c r="C126" s="6" t="s">
        <v>1768</v>
      </c>
      <c r="D126" s="6" t="s">
        <v>1769</v>
      </c>
      <c r="E126" s="6" t="s">
        <v>1770</v>
      </c>
      <c r="F126" s="6" t="s">
        <v>1755</v>
      </c>
      <c r="G126" s="6" t="s">
        <v>150</v>
      </c>
      <c r="H126" s="7" t="s">
        <v>1756</v>
      </c>
      <c r="I126" s="6" t="s">
        <v>1771</v>
      </c>
      <c r="J126" s="6" t="s">
        <v>1758</v>
      </c>
      <c r="K126" s="6" t="s">
        <v>154</v>
      </c>
      <c r="L126" s="7" t="s">
        <v>1759</v>
      </c>
      <c r="M126" s="5">
        <v>45808.0</v>
      </c>
      <c r="N126" s="6" t="s">
        <v>504</v>
      </c>
      <c r="O126" s="6" t="s">
        <v>1772</v>
      </c>
      <c r="P126" s="6" t="s">
        <v>504</v>
      </c>
      <c r="Q126" s="6" t="s">
        <v>1773</v>
      </c>
      <c r="R126" s="6" t="s">
        <v>1774</v>
      </c>
      <c r="S126" s="6" t="s">
        <v>1763</v>
      </c>
      <c r="T126" s="6" t="s">
        <v>101</v>
      </c>
      <c r="U126" s="5">
        <v>43298.0</v>
      </c>
      <c r="V126" s="6" t="s">
        <v>54</v>
      </c>
      <c r="W126" s="6" t="s">
        <v>55</v>
      </c>
      <c r="X126" s="6" t="s">
        <v>102</v>
      </c>
      <c r="Z126" s="6" t="s">
        <v>1775</v>
      </c>
      <c r="AA126" s="6" t="s">
        <v>947</v>
      </c>
      <c r="AB126" s="6">
        <v>1.0</v>
      </c>
      <c r="AD126" s="7" t="s">
        <v>1759</v>
      </c>
      <c r="AE126" s="7" t="s">
        <v>1759</v>
      </c>
      <c r="AH126" s="8" t="str">
        <f t="shared" ref="AH126:AH127" si="17">HYPERLINK("https://drive.google.com/file/d/1N1O60bsh-LoMh1OYEilNaXQxX3FAUZ4r/view?usp=drivesdk", "https://drive.google.com/file/d/1N1O60bsh-LoMh1OYEilNaXQxX3FAUZ4r/view?usp=drivesdk")</f>
        <v>https://drive.google.com/file/d/1N1O60bsh-LoMh1OYEilNaXQxX3FAUZ4r/view?usp=drivesdk</v>
      </c>
      <c r="AJ126" s="6" t="s">
        <v>1776</v>
      </c>
      <c r="AK126" s="6" t="s">
        <v>61</v>
      </c>
      <c r="AL126" s="16"/>
    </row>
    <row r="127" ht="22.5" customHeight="1">
      <c r="A127" s="4">
        <v>45845.78376039352</v>
      </c>
      <c r="B127" s="5">
        <v>44932.0</v>
      </c>
      <c r="C127" s="6" t="s">
        <v>1777</v>
      </c>
      <c r="D127" s="6" t="s">
        <v>1769</v>
      </c>
      <c r="E127" s="6" t="s">
        <v>1770</v>
      </c>
      <c r="F127" s="6" t="s">
        <v>1755</v>
      </c>
      <c r="G127" s="6" t="s">
        <v>150</v>
      </c>
      <c r="H127" s="7" t="s">
        <v>1756</v>
      </c>
      <c r="I127" s="6" t="s">
        <v>1771</v>
      </c>
      <c r="J127" s="6" t="s">
        <v>1758</v>
      </c>
      <c r="K127" s="6" t="s">
        <v>154</v>
      </c>
      <c r="L127" s="7" t="s">
        <v>1759</v>
      </c>
      <c r="M127" s="5">
        <v>45808.0</v>
      </c>
      <c r="N127" s="6" t="s">
        <v>48</v>
      </c>
      <c r="O127" s="6" t="s">
        <v>1772</v>
      </c>
      <c r="P127" s="6" t="s">
        <v>48</v>
      </c>
      <c r="Q127" s="6" t="s">
        <v>1773</v>
      </c>
      <c r="R127" s="6" t="s">
        <v>1774</v>
      </c>
      <c r="S127" s="6" t="s">
        <v>1763</v>
      </c>
      <c r="T127" s="6" t="s">
        <v>101</v>
      </c>
      <c r="U127" s="5">
        <v>43298.0</v>
      </c>
      <c r="V127" s="6" t="s">
        <v>54</v>
      </c>
      <c r="W127" s="6" t="s">
        <v>55</v>
      </c>
      <c r="X127" s="6" t="s">
        <v>102</v>
      </c>
      <c r="Z127" s="6" t="s">
        <v>1778</v>
      </c>
      <c r="AA127" s="6" t="s">
        <v>947</v>
      </c>
      <c r="AB127" s="6">
        <v>1.0</v>
      </c>
      <c r="AD127" s="7" t="s">
        <v>1759</v>
      </c>
      <c r="AE127" s="7" t="s">
        <v>1759</v>
      </c>
      <c r="AH127" s="28" t="str">
        <f t="shared" si="17"/>
        <v>https://drive.google.com/file/d/1N1O60bsh-LoMh1OYEilNaXQxX3FAUZ4r/view?usp=drivesdk</v>
      </c>
      <c r="AJ127" s="6" t="s">
        <v>1779</v>
      </c>
      <c r="AK127" s="6" t="s">
        <v>61</v>
      </c>
      <c r="AL127" s="16"/>
    </row>
    <row r="128" ht="22.5" customHeight="1">
      <c r="A128" s="4">
        <v>45845.833260127314</v>
      </c>
      <c r="B128" s="5">
        <v>44927.0</v>
      </c>
      <c r="C128" s="6" t="s">
        <v>1780</v>
      </c>
      <c r="D128" s="6" t="s">
        <v>1781</v>
      </c>
      <c r="E128" s="6" t="s">
        <v>1782</v>
      </c>
      <c r="F128" s="6" t="s">
        <v>1783</v>
      </c>
      <c r="G128" s="6" t="s">
        <v>150</v>
      </c>
      <c r="H128" s="7" t="s">
        <v>1784</v>
      </c>
      <c r="I128" s="6" t="s">
        <v>1785</v>
      </c>
      <c r="J128" s="6" t="s">
        <v>1786</v>
      </c>
      <c r="K128" s="6" t="s">
        <v>749</v>
      </c>
      <c r="L128" s="7" t="s">
        <v>1787</v>
      </c>
      <c r="M128" s="5">
        <v>45808.0</v>
      </c>
      <c r="N128" s="6" t="s">
        <v>48</v>
      </c>
      <c r="O128" s="6" t="s">
        <v>1788</v>
      </c>
      <c r="P128" s="6" t="s">
        <v>48</v>
      </c>
      <c r="Q128" s="6" t="s">
        <v>1789</v>
      </c>
      <c r="R128" s="6" t="s">
        <v>1790</v>
      </c>
      <c r="S128" s="6" t="s">
        <v>1791</v>
      </c>
      <c r="T128" s="6" t="s">
        <v>217</v>
      </c>
      <c r="U128" s="5">
        <v>43201.0</v>
      </c>
      <c r="V128" s="6" t="s">
        <v>54</v>
      </c>
      <c r="W128" s="6" t="s">
        <v>55</v>
      </c>
      <c r="X128" s="6" t="s">
        <v>102</v>
      </c>
      <c r="Y128" s="6" t="s">
        <v>160</v>
      </c>
      <c r="Z128" s="6" t="s">
        <v>1792</v>
      </c>
      <c r="AA128" s="6" t="s">
        <v>900</v>
      </c>
      <c r="AB128" s="6">
        <v>1.0</v>
      </c>
      <c r="AD128" s="7" t="s">
        <v>1787</v>
      </c>
      <c r="AE128" s="7" t="s">
        <v>1787</v>
      </c>
      <c r="AF128" s="6" t="s">
        <v>1793</v>
      </c>
      <c r="AG128" s="6" t="s">
        <v>1794</v>
      </c>
      <c r="AH128" s="10" t="str">
        <f t="shared" ref="AH128:AH129" si="18">HYPERLINK("https://drive.google.com/file/d/1tQAJL5vR6zokeZ14TZdRNh1R6soDPioS/view?usp=drivesdk", "https://drive.google.com/file/d/1tQAJL5vR6zokeZ14TZdRNh1R6soDPioS/view?usp=drivesdk")</f>
        <v>https://drive.google.com/file/d/1tQAJL5vR6zokeZ14TZdRNh1R6soDPioS/view?usp=drivesdk</v>
      </c>
      <c r="AJ128" s="6" t="s">
        <v>1795</v>
      </c>
      <c r="AK128" s="6" t="s">
        <v>61</v>
      </c>
      <c r="AL128" s="13"/>
    </row>
    <row r="129" ht="22.5" customHeight="1">
      <c r="A129" s="4">
        <v>45845.851512939815</v>
      </c>
      <c r="B129" s="5">
        <v>44927.0</v>
      </c>
      <c r="C129" s="6" t="s">
        <v>1796</v>
      </c>
      <c r="D129" s="6" t="s">
        <v>1781</v>
      </c>
      <c r="E129" s="6" t="s">
        <v>1782</v>
      </c>
      <c r="F129" s="6" t="s">
        <v>1783</v>
      </c>
      <c r="G129" s="6" t="s">
        <v>150</v>
      </c>
      <c r="H129" s="7" t="s">
        <v>1784</v>
      </c>
      <c r="I129" s="6" t="s">
        <v>1797</v>
      </c>
      <c r="J129" s="6" t="s">
        <v>1786</v>
      </c>
      <c r="K129" s="6" t="s">
        <v>154</v>
      </c>
      <c r="L129" s="7" t="s">
        <v>1787</v>
      </c>
      <c r="M129" s="5">
        <v>45808.0</v>
      </c>
      <c r="N129" s="6" t="s">
        <v>504</v>
      </c>
      <c r="O129" s="6" t="s">
        <v>1788</v>
      </c>
      <c r="P129" s="6" t="s">
        <v>504</v>
      </c>
      <c r="Q129" s="6" t="s">
        <v>1789</v>
      </c>
      <c r="R129" s="6" t="s">
        <v>1790</v>
      </c>
      <c r="S129" s="6" t="s">
        <v>1798</v>
      </c>
      <c r="T129" s="6" t="s">
        <v>217</v>
      </c>
      <c r="U129" s="5">
        <v>43201.0</v>
      </c>
      <c r="V129" s="6" t="s">
        <v>54</v>
      </c>
      <c r="W129" s="6" t="s">
        <v>55</v>
      </c>
      <c r="X129" s="6" t="s">
        <v>102</v>
      </c>
      <c r="Y129" s="6" t="s">
        <v>160</v>
      </c>
      <c r="Z129" s="6" t="s">
        <v>1799</v>
      </c>
      <c r="AA129" s="6" t="s">
        <v>104</v>
      </c>
      <c r="AB129" s="6">
        <v>1.0</v>
      </c>
      <c r="AD129" s="7" t="s">
        <v>1787</v>
      </c>
      <c r="AE129" s="7" t="s">
        <v>1787</v>
      </c>
      <c r="AF129" s="6" t="s">
        <v>1793</v>
      </c>
      <c r="AG129" s="6" t="s">
        <v>1794</v>
      </c>
      <c r="AH129" s="11" t="str">
        <f t="shared" si="18"/>
        <v>https://drive.google.com/file/d/1tQAJL5vR6zokeZ14TZdRNh1R6soDPioS/view?usp=drivesdk</v>
      </c>
      <c r="AJ129" s="6" t="s">
        <v>1800</v>
      </c>
      <c r="AK129" s="6" t="s">
        <v>61</v>
      </c>
      <c r="AL129" s="13"/>
    </row>
    <row r="130" ht="22.5" customHeight="1">
      <c r="A130" s="4">
        <v>45845.96133052083</v>
      </c>
      <c r="B130" s="5">
        <v>45835.0</v>
      </c>
      <c r="C130" s="6" t="s">
        <v>1801</v>
      </c>
      <c r="D130" s="6" t="s">
        <v>1802</v>
      </c>
      <c r="E130" s="6" t="s">
        <v>1803</v>
      </c>
      <c r="F130" s="6" t="s">
        <v>1804</v>
      </c>
      <c r="G130" s="6" t="s">
        <v>1805</v>
      </c>
      <c r="H130" s="7" t="s">
        <v>1806</v>
      </c>
      <c r="I130" s="6" t="s">
        <v>1807</v>
      </c>
      <c r="J130" s="6" t="s">
        <v>1808</v>
      </c>
      <c r="K130" s="6" t="s">
        <v>336</v>
      </c>
      <c r="L130" s="7" t="s">
        <v>1806</v>
      </c>
      <c r="M130" s="5">
        <v>45808.0</v>
      </c>
      <c r="N130" s="6" t="s">
        <v>48</v>
      </c>
      <c r="O130" s="6" t="s">
        <v>1809</v>
      </c>
      <c r="P130" s="6" t="s">
        <v>48</v>
      </c>
      <c r="Q130" s="6" t="s">
        <v>1810</v>
      </c>
      <c r="R130" s="6" t="s">
        <v>1811</v>
      </c>
      <c r="S130" s="6" t="s">
        <v>1812</v>
      </c>
      <c r="T130" s="6" t="s">
        <v>180</v>
      </c>
      <c r="U130" s="5">
        <v>43447.0</v>
      </c>
      <c r="V130" s="6" t="s">
        <v>54</v>
      </c>
      <c r="W130" s="6" t="s">
        <v>55</v>
      </c>
      <c r="X130" s="6" t="s">
        <v>102</v>
      </c>
      <c r="Z130" s="6" t="s">
        <v>1813</v>
      </c>
      <c r="AA130" s="6" t="s">
        <v>947</v>
      </c>
      <c r="AB130" s="6">
        <v>6.0</v>
      </c>
      <c r="AD130" s="7" t="s">
        <v>1806</v>
      </c>
      <c r="AE130" s="7" t="s">
        <v>1806</v>
      </c>
      <c r="AH130" s="10" t="str">
        <f t="shared" ref="AH130:AH131" si="19">HYPERLINK("https://drive.google.com/file/d/1RWPDIhrPTZcU_7y70gkdEIeJUdA3HCie/view?usp=drivesdk", "https://drive.google.com/file/d/1RWPDIhrPTZcU_7y70gkdEIeJUdA3HCie/view?usp=drivesdk")</f>
        <v>https://drive.google.com/file/d/1RWPDIhrPTZcU_7y70gkdEIeJUdA3HCie/view?usp=drivesdk</v>
      </c>
      <c r="AJ130" s="6" t="s">
        <v>1814</v>
      </c>
      <c r="AK130" s="6" t="s">
        <v>61</v>
      </c>
      <c r="AL130" s="13"/>
    </row>
    <row r="131" ht="22.5" customHeight="1">
      <c r="A131" s="4">
        <v>45845.96558399306</v>
      </c>
      <c r="B131" s="5">
        <v>45835.0</v>
      </c>
      <c r="C131" s="6" t="s">
        <v>1815</v>
      </c>
      <c r="D131" s="6" t="s">
        <v>1802</v>
      </c>
      <c r="E131" s="6" t="s">
        <v>1803</v>
      </c>
      <c r="F131" s="6" t="s">
        <v>1804</v>
      </c>
      <c r="G131" s="6" t="s">
        <v>1816</v>
      </c>
      <c r="H131" s="7" t="s">
        <v>1806</v>
      </c>
      <c r="I131" s="6" t="s">
        <v>1817</v>
      </c>
      <c r="J131" s="6" t="s">
        <v>1808</v>
      </c>
      <c r="K131" s="6" t="s">
        <v>336</v>
      </c>
      <c r="L131" s="7" t="s">
        <v>1806</v>
      </c>
      <c r="M131" s="5">
        <v>45808.0</v>
      </c>
      <c r="N131" s="6" t="s">
        <v>504</v>
      </c>
      <c r="O131" s="6" t="s">
        <v>1809</v>
      </c>
      <c r="P131" s="6" t="s">
        <v>504</v>
      </c>
      <c r="Q131" s="6" t="s">
        <v>1810</v>
      </c>
      <c r="R131" s="6" t="s">
        <v>251</v>
      </c>
      <c r="S131" s="6" t="s">
        <v>1818</v>
      </c>
      <c r="T131" s="6" t="s">
        <v>180</v>
      </c>
      <c r="U131" s="5">
        <v>43447.0</v>
      </c>
      <c r="V131" s="6" t="s">
        <v>54</v>
      </c>
      <c r="W131" s="6" t="s">
        <v>55</v>
      </c>
      <c r="X131" s="6" t="s">
        <v>102</v>
      </c>
      <c r="Z131" s="6" t="s">
        <v>1813</v>
      </c>
      <c r="AA131" s="6" t="s">
        <v>162</v>
      </c>
      <c r="AB131" s="6">
        <v>6.0</v>
      </c>
      <c r="AD131" s="7" t="s">
        <v>1806</v>
      </c>
      <c r="AE131" s="7" t="s">
        <v>1806</v>
      </c>
      <c r="AH131" s="11" t="str">
        <f t="shared" si="19"/>
        <v>https://drive.google.com/file/d/1RWPDIhrPTZcU_7y70gkdEIeJUdA3HCie/view?usp=drivesdk</v>
      </c>
      <c r="AJ131" s="6" t="s">
        <v>1819</v>
      </c>
      <c r="AK131" s="6" t="s">
        <v>61</v>
      </c>
      <c r="AL131" s="13"/>
    </row>
    <row r="132" ht="22.5" customHeight="1">
      <c r="A132" s="4">
        <v>45845.97770454861</v>
      </c>
      <c r="B132" s="5">
        <v>45017.0</v>
      </c>
      <c r="C132" s="6" t="s">
        <v>1820</v>
      </c>
      <c r="D132" s="6" t="s">
        <v>1821</v>
      </c>
      <c r="E132" s="6" t="s">
        <v>1822</v>
      </c>
      <c r="F132" s="6" t="s">
        <v>1823</v>
      </c>
      <c r="G132" s="6" t="s">
        <v>66</v>
      </c>
      <c r="H132" s="7" t="s">
        <v>1824</v>
      </c>
      <c r="I132" s="6" t="s">
        <v>1825</v>
      </c>
      <c r="J132" s="6" t="s">
        <v>1826</v>
      </c>
      <c r="K132" s="6" t="s">
        <v>46</v>
      </c>
      <c r="L132" s="7" t="s">
        <v>1827</v>
      </c>
      <c r="M132" s="5">
        <v>45808.0</v>
      </c>
      <c r="N132" s="6" t="s">
        <v>48</v>
      </c>
      <c r="O132" s="6" t="s">
        <v>1828</v>
      </c>
      <c r="P132" s="6" t="s">
        <v>48</v>
      </c>
      <c r="Q132" s="6" t="s">
        <v>1829</v>
      </c>
      <c r="R132" s="6" t="s">
        <v>1830</v>
      </c>
      <c r="S132" s="6" t="s">
        <v>1831</v>
      </c>
      <c r="T132" s="6" t="s">
        <v>180</v>
      </c>
      <c r="U132" s="5">
        <v>43126.0</v>
      </c>
      <c r="V132" s="6" t="s">
        <v>54</v>
      </c>
      <c r="W132" s="6" t="s">
        <v>55</v>
      </c>
      <c r="X132" s="6" t="s">
        <v>102</v>
      </c>
      <c r="Y132" s="6" t="s">
        <v>123</v>
      </c>
      <c r="Z132" s="6" t="s">
        <v>1832</v>
      </c>
      <c r="AA132" s="6" t="s">
        <v>1068</v>
      </c>
      <c r="AB132" s="6">
        <v>3.0</v>
      </c>
      <c r="AD132" s="7" t="s">
        <v>1827</v>
      </c>
      <c r="AE132" s="7" t="s">
        <v>1827</v>
      </c>
      <c r="AH132" s="8" t="str">
        <f t="shared" ref="AH132:AH133" si="20">HYPERLINK("https://drive.google.com/file/d/1cwoXPuYUm0wIlWFLBK-XpHdY5BtczrxV/view?usp=drivesdk", "https://drive.google.com/file/d/1cwoXPuYUm0wIlWFLBK-XpHdY5BtczrxV/view?usp=drivesdk")</f>
        <v>https://drive.google.com/file/d/1cwoXPuYUm0wIlWFLBK-XpHdY5BtczrxV/view?usp=drivesdk</v>
      </c>
      <c r="AJ132" s="6" t="s">
        <v>1833</v>
      </c>
      <c r="AK132" s="6" t="s">
        <v>61</v>
      </c>
      <c r="AL132" s="16"/>
    </row>
    <row r="133" ht="22.5" customHeight="1">
      <c r="A133" s="4">
        <v>45845.98241679398</v>
      </c>
      <c r="B133" s="5">
        <v>45017.0</v>
      </c>
      <c r="C133" s="6" t="s">
        <v>1820</v>
      </c>
      <c r="D133" s="6" t="s">
        <v>1821</v>
      </c>
      <c r="E133" s="6" t="s">
        <v>1834</v>
      </c>
      <c r="F133" s="6" t="s">
        <v>1823</v>
      </c>
      <c r="G133" s="6" t="s">
        <v>150</v>
      </c>
      <c r="H133" s="7" t="s">
        <v>1824</v>
      </c>
      <c r="I133" s="6" t="s">
        <v>1835</v>
      </c>
      <c r="J133" s="6" t="s">
        <v>1826</v>
      </c>
      <c r="K133" s="6" t="s">
        <v>336</v>
      </c>
      <c r="L133" s="7" t="s">
        <v>1827</v>
      </c>
      <c r="M133" s="5">
        <v>45808.0</v>
      </c>
      <c r="N133" s="6" t="s">
        <v>504</v>
      </c>
      <c r="O133" s="6" t="s">
        <v>1828</v>
      </c>
      <c r="P133" s="6" t="s">
        <v>504</v>
      </c>
      <c r="Q133" s="6" t="s">
        <v>1829</v>
      </c>
      <c r="R133" s="6" t="s">
        <v>1830</v>
      </c>
      <c r="S133" s="6" t="s">
        <v>1831</v>
      </c>
      <c r="T133" s="6" t="s">
        <v>180</v>
      </c>
      <c r="U133" s="5">
        <v>43126.0</v>
      </c>
      <c r="V133" s="6" t="s">
        <v>54</v>
      </c>
      <c r="W133" s="6" t="s">
        <v>55</v>
      </c>
      <c r="X133" s="6" t="s">
        <v>102</v>
      </c>
      <c r="Y133" s="6" t="s">
        <v>123</v>
      </c>
      <c r="Z133" s="6" t="s">
        <v>1813</v>
      </c>
      <c r="AA133" s="6" t="s">
        <v>1068</v>
      </c>
      <c r="AB133" s="6">
        <v>3.0</v>
      </c>
      <c r="AD133" s="7" t="s">
        <v>1827</v>
      </c>
      <c r="AE133" s="7" t="s">
        <v>1827</v>
      </c>
      <c r="AH133" s="8" t="str">
        <f t="shared" si="20"/>
        <v>https://drive.google.com/file/d/1cwoXPuYUm0wIlWFLBK-XpHdY5BtczrxV/view?usp=drivesdk</v>
      </c>
      <c r="AJ133" s="6" t="s">
        <v>1836</v>
      </c>
      <c r="AK133" s="6" t="s">
        <v>61</v>
      </c>
      <c r="AL133" s="16"/>
    </row>
    <row r="134" ht="22.5" customHeight="1">
      <c r="A134" s="4">
        <v>45845.98905451389</v>
      </c>
      <c r="B134" s="5">
        <v>45303.0</v>
      </c>
      <c r="C134" s="6" t="s">
        <v>1837</v>
      </c>
      <c r="D134" s="6" t="s">
        <v>1838</v>
      </c>
      <c r="E134" s="6" t="s">
        <v>1834</v>
      </c>
      <c r="F134" s="6" t="s">
        <v>1823</v>
      </c>
      <c r="G134" s="6" t="s">
        <v>150</v>
      </c>
      <c r="H134" s="7" t="s">
        <v>1824</v>
      </c>
      <c r="I134" s="6" t="s">
        <v>1835</v>
      </c>
      <c r="J134" s="6" t="s">
        <v>1826</v>
      </c>
      <c r="K134" s="6" t="s">
        <v>336</v>
      </c>
      <c r="L134" s="7" t="s">
        <v>1827</v>
      </c>
      <c r="M134" s="5">
        <v>45808.0</v>
      </c>
      <c r="N134" s="6" t="s">
        <v>48</v>
      </c>
      <c r="O134" s="6" t="s">
        <v>1839</v>
      </c>
      <c r="P134" s="6" t="s">
        <v>48</v>
      </c>
      <c r="Q134" s="6" t="s">
        <v>1840</v>
      </c>
      <c r="R134" s="6" t="s">
        <v>1830</v>
      </c>
      <c r="S134" s="6" t="s">
        <v>1831</v>
      </c>
      <c r="T134" s="6" t="s">
        <v>180</v>
      </c>
      <c r="U134" s="5">
        <v>43718.0</v>
      </c>
      <c r="V134" s="6" t="s">
        <v>54</v>
      </c>
      <c r="W134" s="6" t="s">
        <v>77</v>
      </c>
      <c r="X134" s="6" t="s">
        <v>102</v>
      </c>
      <c r="Z134" s="6" t="s">
        <v>1813</v>
      </c>
      <c r="AA134" s="6" t="s">
        <v>947</v>
      </c>
      <c r="AB134" s="6">
        <v>1.0</v>
      </c>
      <c r="AD134" s="7" t="s">
        <v>1827</v>
      </c>
      <c r="AE134" s="7" t="s">
        <v>1827</v>
      </c>
      <c r="AH134" s="8" t="str">
        <f t="shared" ref="AH134:AH135" si="21">HYPERLINK("https://drive.google.com/file/d/1zddC1UQ2BBFCXd5TShadgfXCbPHBO0aV/view?usp=drivesdk", "https://drive.google.com/file/d/1zddC1UQ2BBFCXd5TShadgfXCbPHBO0aV/view?usp=drivesdk")</f>
        <v>https://drive.google.com/file/d/1zddC1UQ2BBFCXd5TShadgfXCbPHBO0aV/view?usp=drivesdk</v>
      </c>
      <c r="AJ134" s="6" t="s">
        <v>1841</v>
      </c>
      <c r="AK134" s="6" t="s">
        <v>61</v>
      </c>
      <c r="AL134" s="16"/>
    </row>
    <row r="135" ht="22.5" customHeight="1">
      <c r="A135" s="4">
        <v>45846.00266244213</v>
      </c>
      <c r="B135" s="5">
        <v>45303.0</v>
      </c>
      <c r="C135" s="6" t="s">
        <v>1837</v>
      </c>
      <c r="D135" s="6" t="s">
        <v>1838</v>
      </c>
      <c r="E135" s="6" t="s">
        <v>1834</v>
      </c>
      <c r="F135" s="6" t="s">
        <v>1823</v>
      </c>
      <c r="G135" s="6" t="s">
        <v>150</v>
      </c>
      <c r="H135" s="7" t="s">
        <v>1824</v>
      </c>
      <c r="I135" s="6" t="s">
        <v>1835</v>
      </c>
      <c r="J135" s="6" t="s">
        <v>1826</v>
      </c>
      <c r="K135" s="6" t="s">
        <v>336</v>
      </c>
      <c r="L135" s="7" t="s">
        <v>1827</v>
      </c>
      <c r="M135" s="5">
        <v>45808.0</v>
      </c>
      <c r="N135" s="6" t="s">
        <v>504</v>
      </c>
      <c r="O135" s="6" t="s">
        <v>1839</v>
      </c>
      <c r="P135" s="6" t="s">
        <v>504</v>
      </c>
      <c r="Q135" s="6" t="s">
        <v>1840</v>
      </c>
      <c r="R135" s="6" t="s">
        <v>1830</v>
      </c>
      <c r="S135" s="6" t="s">
        <v>1831</v>
      </c>
      <c r="T135" s="6" t="s">
        <v>180</v>
      </c>
      <c r="U135" s="5">
        <v>43718.0</v>
      </c>
      <c r="V135" s="6" t="s">
        <v>54</v>
      </c>
      <c r="W135" s="6" t="s">
        <v>77</v>
      </c>
      <c r="X135" s="6" t="s">
        <v>102</v>
      </c>
      <c r="Z135" s="6" t="s">
        <v>1813</v>
      </c>
      <c r="AA135" s="6" t="s">
        <v>947</v>
      </c>
      <c r="AB135" s="6">
        <v>1.0</v>
      </c>
      <c r="AD135" s="7" t="s">
        <v>1827</v>
      </c>
      <c r="AE135" s="7" t="s">
        <v>1827</v>
      </c>
      <c r="AH135" s="8" t="str">
        <f t="shared" si="21"/>
        <v>https://drive.google.com/file/d/1zddC1UQ2BBFCXd5TShadgfXCbPHBO0aV/view?usp=drivesdk</v>
      </c>
      <c r="AJ135" s="6" t="s">
        <v>1842</v>
      </c>
      <c r="AK135" s="6" t="s">
        <v>61</v>
      </c>
      <c r="AL135" s="16"/>
    </row>
    <row r="136" ht="22.5" customHeight="1">
      <c r="A136" s="4">
        <v>45846.029970393516</v>
      </c>
      <c r="B136" s="5">
        <v>44929.0</v>
      </c>
      <c r="C136" s="6" t="s">
        <v>1843</v>
      </c>
      <c r="D136" s="6" t="s">
        <v>1844</v>
      </c>
      <c r="E136" s="6" t="s">
        <v>1845</v>
      </c>
      <c r="F136" s="6" t="s">
        <v>1846</v>
      </c>
      <c r="G136" s="6" t="s">
        <v>150</v>
      </c>
      <c r="H136" s="7" t="s">
        <v>1847</v>
      </c>
      <c r="I136" s="6" t="s">
        <v>1848</v>
      </c>
      <c r="J136" s="6" t="s">
        <v>1849</v>
      </c>
      <c r="K136" s="6" t="s">
        <v>46</v>
      </c>
      <c r="L136" s="7" t="s">
        <v>1850</v>
      </c>
      <c r="M136" s="5">
        <v>45808.0</v>
      </c>
      <c r="N136" s="6" t="s">
        <v>48</v>
      </c>
      <c r="O136" s="6" t="s">
        <v>1851</v>
      </c>
      <c r="P136" s="6" t="s">
        <v>48</v>
      </c>
      <c r="R136" s="6" t="s">
        <v>1852</v>
      </c>
      <c r="S136" s="6" t="s">
        <v>1853</v>
      </c>
      <c r="T136" s="6" t="s">
        <v>101</v>
      </c>
      <c r="U136" s="5">
        <v>43481.0</v>
      </c>
      <c r="V136" s="6" t="s">
        <v>54</v>
      </c>
      <c r="W136" s="6" t="s">
        <v>77</v>
      </c>
      <c r="X136" s="6" t="s">
        <v>102</v>
      </c>
      <c r="Y136" s="6" t="s">
        <v>160</v>
      </c>
      <c r="Z136" s="6" t="s">
        <v>1854</v>
      </c>
      <c r="AA136" s="6" t="s">
        <v>104</v>
      </c>
      <c r="AB136" s="6">
        <v>11.0</v>
      </c>
      <c r="AD136" s="7" t="s">
        <v>1850</v>
      </c>
      <c r="AE136" s="7" t="s">
        <v>1850</v>
      </c>
      <c r="AH136" s="8" t="str">
        <f t="shared" ref="AH136:AH137" si="22">HYPERLINK("https://drive.google.com/file/d/1G2ozGADacuSNdXxd73c5UrM36NH-1FTK/view?usp=drivesdk", "https://drive.google.com/file/d/1G2ozGADacuSNdXxd73c5UrM36NH-1FTK/view?usp=drivesdk")</f>
        <v>https://drive.google.com/file/d/1G2ozGADacuSNdXxd73c5UrM36NH-1FTK/view?usp=drivesdk</v>
      </c>
      <c r="AJ136" s="6" t="s">
        <v>1855</v>
      </c>
      <c r="AK136" s="6" t="s">
        <v>61</v>
      </c>
      <c r="AL136" s="16"/>
    </row>
    <row r="137" ht="22.5" customHeight="1">
      <c r="A137" s="4">
        <v>45846.03831793982</v>
      </c>
      <c r="B137" s="5">
        <v>44929.0</v>
      </c>
      <c r="C137" s="6" t="s">
        <v>1843</v>
      </c>
      <c r="D137" s="6" t="s">
        <v>1844</v>
      </c>
      <c r="E137" s="6" t="s">
        <v>1845</v>
      </c>
      <c r="F137" s="6" t="s">
        <v>1846</v>
      </c>
      <c r="G137" s="6" t="s">
        <v>150</v>
      </c>
      <c r="H137" s="7" t="s">
        <v>1847</v>
      </c>
      <c r="I137" s="6" t="s">
        <v>1848</v>
      </c>
      <c r="J137" s="6" t="s">
        <v>1849</v>
      </c>
      <c r="K137" s="6" t="s">
        <v>336</v>
      </c>
      <c r="L137" s="7" t="s">
        <v>1850</v>
      </c>
      <c r="M137" s="5">
        <v>45808.0</v>
      </c>
      <c r="N137" s="6" t="s">
        <v>71</v>
      </c>
      <c r="O137" s="6" t="s">
        <v>1851</v>
      </c>
      <c r="R137" s="6" t="s">
        <v>1856</v>
      </c>
      <c r="S137" s="6" t="s">
        <v>1856</v>
      </c>
      <c r="T137" s="6" t="s">
        <v>101</v>
      </c>
      <c r="U137" s="5">
        <v>43481.0</v>
      </c>
      <c r="V137" s="6" t="s">
        <v>54</v>
      </c>
      <c r="W137" s="6" t="s">
        <v>77</v>
      </c>
      <c r="X137" s="6" t="s">
        <v>102</v>
      </c>
      <c r="Z137" s="6" t="s">
        <v>1857</v>
      </c>
      <c r="AA137" s="6" t="s">
        <v>104</v>
      </c>
      <c r="AB137" s="6">
        <v>11.0</v>
      </c>
      <c r="AD137" s="7" t="s">
        <v>1850</v>
      </c>
      <c r="AE137" s="7" t="s">
        <v>1850</v>
      </c>
      <c r="AH137" s="8" t="str">
        <f t="shared" si="22"/>
        <v>https://drive.google.com/file/d/1G2ozGADacuSNdXxd73c5UrM36NH-1FTK/view?usp=drivesdk</v>
      </c>
      <c r="AJ137" s="6" t="s">
        <v>1858</v>
      </c>
      <c r="AK137" s="6" t="s">
        <v>61</v>
      </c>
      <c r="AL137" s="16"/>
    </row>
    <row r="138" ht="22.5" customHeight="1">
      <c r="A138" s="4">
        <v>45846.05794878472</v>
      </c>
      <c r="B138" s="5">
        <v>44896.0</v>
      </c>
      <c r="C138" s="6" t="s">
        <v>1859</v>
      </c>
      <c r="D138" s="6" t="s">
        <v>1860</v>
      </c>
      <c r="E138" s="6" t="s">
        <v>1845</v>
      </c>
      <c r="F138" s="6" t="s">
        <v>1846</v>
      </c>
      <c r="G138" s="6" t="s">
        <v>150</v>
      </c>
      <c r="H138" s="7" t="s">
        <v>1847</v>
      </c>
      <c r="I138" s="6" t="s">
        <v>1848</v>
      </c>
      <c r="J138" s="6" t="s">
        <v>1849</v>
      </c>
      <c r="K138" s="6" t="s">
        <v>336</v>
      </c>
      <c r="L138" s="7" t="s">
        <v>1850</v>
      </c>
      <c r="M138" s="5">
        <v>45808.0</v>
      </c>
      <c r="N138" s="6" t="s">
        <v>48</v>
      </c>
      <c r="O138" s="6" t="s">
        <v>1861</v>
      </c>
      <c r="P138" s="6" t="s">
        <v>48</v>
      </c>
      <c r="Q138" s="6" t="s">
        <v>1862</v>
      </c>
      <c r="R138" s="6" t="s">
        <v>1856</v>
      </c>
      <c r="S138" s="6" t="s">
        <v>1856</v>
      </c>
      <c r="T138" s="6" t="s">
        <v>101</v>
      </c>
      <c r="U138" s="5">
        <v>42736.0</v>
      </c>
      <c r="V138" s="6" t="s">
        <v>54</v>
      </c>
      <c r="W138" s="6" t="s">
        <v>55</v>
      </c>
      <c r="X138" s="6" t="s">
        <v>102</v>
      </c>
      <c r="Y138" s="6" t="s">
        <v>78</v>
      </c>
      <c r="Z138" s="6" t="s">
        <v>1857</v>
      </c>
      <c r="AA138" s="6" t="s">
        <v>370</v>
      </c>
      <c r="AB138" s="6">
        <v>16.0</v>
      </c>
      <c r="AD138" s="7" t="s">
        <v>1850</v>
      </c>
      <c r="AE138" s="7" t="s">
        <v>1850</v>
      </c>
      <c r="AH138" s="8" t="str">
        <f t="shared" ref="AH138:AH139" si="23">HYPERLINK("https://drive.google.com/file/d/1m4OdUBPehdgLTIhckGlVO8GB5Yw8q_x5/view?usp=drivesdk", "https://drive.google.com/file/d/1m4OdUBPehdgLTIhckGlVO8GB5Yw8q_x5/view?usp=drivesdk")</f>
        <v>https://drive.google.com/file/d/1m4OdUBPehdgLTIhckGlVO8GB5Yw8q_x5/view?usp=drivesdk</v>
      </c>
      <c r="AJ138" s="6" t="s">
        <v>1863</v>
      </c>
      <c r="AK138" s="6" t="s">
        <v>61</v>
      </c>
      <c r="AL138" s="16"/>
    </row>
    <row r="139" ht="22.5" customHeight="1">
      <c r="A139" s="4">
        <v>45846.495204861116</v>
      </c>
      <c r="B139" s="5">
        <v>44896.0</v>
      </c>
      <c r="C139" s="6" t="s">
        <v>1859</v>
      </c>
      <c r="D139" s="6" t="s">
        <v>1864</v>
      </c>
      <c r="E139" s="6" t="s">
        <v>1845</v>
      </c>
      <c r="F139" s="6" t="s">
        <v>1846</v>
      </c>
      <c r="G139" s="6" t="s">
        <v>150</v>
      </c>
      <c r="H139" s="7" t="s">
        <v>1847</v>
      </c>
      <c r="I139" s="6" t="s">
        <v>1848</v>
      </c>
      <c r="J139" s="6" t="s">
        <v>1849</v>
      </c>
      <c r="K139" s="6" t="s">
        <v>336</v>
      </c>
      <c r="L139" s="7" t="s">
        <v>1850</v>
      </c>
      <c r="M139" s="5">
        <v>45808.0</v>
      </c>
      <c r="N139" s="6" t="s">
        <v>176</v>
      </c>
      <c r="O139" s="6" t="s">
        <v>1861</v>
      </c>
      <c r="P139" s="6" t="s">
        <v>176</v>
      </c>
      <c r="Q139" s="6" t="s">
        <v>1862</v>
      </c>
      <c r="R139" s="6" t="s">
        <v>1856</v>
      </c>
      <c r="S139" s="6" t="s">
        <v>1856</v>
      </c>
      <c r="T139" s="6" t="s">
        <v>101</v>
      </c>
      <c r="U139" s="5">
        <v>42736.0</v>
      </c>
      <c r="V139" s="6" t="s">
        <v>54</v>
      </c>
      <c r="W139" s="6" t="s">
        <v>55</v>
      </c>
      <c r="X139" s="6" t="s">
        <v>102</v>
      </c>
      <c r="Y139" s="6" t="s">
        <v>78</v>
      </c>
      <c r="Z139" s="6" t="s">
        <v>1857</v>
      </c>
      <c r="AA139" s="6" t="s">
        <v>370</v>
      </c>
      <c r="AB139" s="6">
        <v>16.0</v>
      </c>
      <c r="AD139" s="7" t="s">
        <v>1850</v>
      </c>
      <c r="AE139" s="7" t="s">
        <v>1850</v>
      </c>
      <c r="AH139" s="8" t="str">
        <f t="shared" si="23"/>
        <v>https://drive.google.com/file/d/1m4OdUBPehdgLTIhckGlVO8GB5Yw8q_x5/view?usp=drivesdk</v>
      </c>
      <c r="AJ139" s="6" t="s">
        <v>1865</v>
      </c>
      <c r="AK139" s="6" t="s">
        <v>61</v>
      </c>
      <c r="AL139" s="16"/>
    </row>
    <row r="140" ht="22.5" customHeight="1">
      <c r="A140" s="4">
        <v>45846.519794155094</v>
      </c>
      <c r="B140" s="5">
        <v>44260.0</v>
      </c>
      <c r="C140" s="6" t="s">
        <v>1866</v>
      </c>
      <c r="D140" s="6" t="s">
        <v>1867</v>
      </c>
      <c r="E140" s="6" t="s">
        <v>1868</v>
      </c>
      <c r="F140" s="6" t="s">
        <v>1869</v>
      </c>
      <c r="G140" s="6" t="s">
        <v>42</v>
      </c>
      <c r="H140" s="7" t="s">
        <v>1870</v>
      </c>
      <c r="I140" s="6" t="s">
        <v>1871</v>
      </c>
      <c r="J140" s="6" t="s">
        <v>1872</v>
      </c>
      <c r="K140" s="6" t="s">
        <v>46</v>
      </c>
      <c r="L140" s="7" t="s">
        <v>1873</v>
      </c>
      <c r="M140" s="5">
        <v>45808.0</v>
      </c>
      <c r="N140" s="6" t="s">
        <v>48</v>
      </c>
      <c r="O140" s="6" t="s">
        <v>1874</v>
      </c>
      <c r="P140" s="6" t="s">
        <v>48</v>
      </c>
      <c r="Q140" s="6" t="s">
        <v>1875</v>
      </c>
      <c r="R140" s="6" t="s">
        <v>1876</v>
      </c>
      <c r="S140" s="6" t="s">
        <v>1877</v>
      </c>
      <c r="T140" s="6" t="s">
        <v>217</v>
      </c>
      <c r="U140" s="5">
        <v>43119.0</v>
      </c>
      <c r="V140" s="6" t="s">
        <v>54</v>
      </c>
      <c r="W140" s="6" t="s">
        <v>55</v>
      </c>
      <c r="X140" s="6" t="s">
        <v>102</v>
      </c>
      <c r="Y140" s="6" t="s">
        <v>123</v>
      </c>
      <c r="Z140" s="6" t="s">
        <v>1878</v>
      </c>
      <c r="AA140" s="6" t="s">
        <v>1879</v>
      </c>
      <c r="AD140" s="7" t="s">
        <v>1880</v>
      </c>
      <c r="AE140" s="7" t="s">
        <v>1880</v>
      </c>
      <c r="AH140" s="8" t="str">
        <f t="shared" ref="AH140:AH141" si="24">HYPERLINK("https://drive.google.com/file/d/1LlnVNrtwo6IZtdeOyk2rldD6xDZNWPVh/view?usp=drivesdk", "https://drive.google.com/file/d/1LlnVNrtwo6IZtdeOyk2rldD6xDZNWPVh/view?usp=drivesdk")</f>
        <v>https://drive.google.com/file/d/1LlnVNrtwo6IZtdeOyk2rldD6xDZNWPVh/view?usp=drivesdk</v>
      </c>
      <c r="AJ140" s="6" t="s">
        <v>1881</v>
      </c>
      <c r="AK140" s="6" t="s">
        <v>61</v>
      </c>
      <c r="AL140" s="16"/>
    </row>
    <row r="141" ht="22.5" customHeight="1">
      <c r="A141" s="4">
        <v>45846.52343489583</v>
      </c>
      <c r="B141" s="5">
        <v>44260.0</v>
      </c>
      <c r="C141" s="6" t="s">
        <v>1866</v>
      </c>
      <c r="D141" s="6" t="s">
        <v>1867</v>
      </c>
      <c r="E141" s="6" t="s">
        <v>1882</v>
      </c>
      <c r="F141" s="6" t="s">
        <v>1869</v>
      </c>
      <c r="G141" s="6" t="s">
        <v>377</v>
      </c>
      <c r="H141" s="7" t="s">
        <v>1870</v>
      </c>
      <c r="I141" s="6" t="s">
        <v>1871</v>
      </c>
      <c r="J141" s="6" t="s">
        <v>1872</v>
      </c>
      <c r="K141" s="6" t="s">
        <v>336</v>
      </c>
      <c r="L141" s="7" t="s">
        <v>1873</v>
      </c>
      <c r="M141" s="5">
        <v>45808.0</v>
      </c>
      <c r="N141" s="6" t="s">
        <v>504</v>
      </c>
      <c r="O141" s="6" t="s">
        <v>1874</v>
      </c>
      <c r="P141" s="6" t="s">
        <v>504</v>
      </c>
      <c r="Q141" s="6" t="s">
        <v>1875</v>
      </c>
      <c r="R141" s="6" t="s">
        <v>1883</v>
      </c>
      <c r="S141" s="6" t="s">
        <v>1884</v>
      </c>
      <c r="T141" s="6" t="s">
        <v>217</v>
      </c>
      <c r="U141" s="5">
        <v>43119.0</v>
      </c>
      <c r="V141" s="6" t="s">
        <v>54</v>
      </c>
      <c r="W141" s="6" t="s">
        <v>55</v>
      </c>
      <c r="X141" s="6" t="s">
        <v>102</v>
      </c>
      <c r="Y141" s="6" t="s">
        <v>123</v>
      </c>
      <c r="Z141" s="6" t="s">
        <v>1878</v>
      </c>
      <c r="AA141" s="6" t="s">
        <v>1879</v>
      </c>
      <c r="AD141" s="7" t="s">
        <v>1880</v>
      </c>
      <c r="AE141" s="7" t="s">
        <v>1880</v>
      </c>
      <c r="AH141" s="8" t="str">
        <f t="shared" si="24"/>
        <v>https://drive.google.com/file/d/1LlnVNrtwo6IZtdeOyk2rldD6xDZNWPVh/view?usp=drivesdk</v>
      </c>
      <c r="AJ141" s="6" t="s">
        <v>1885</v>
      </c>
      <c r="AK141" s="6" t="s">
        <v>61</v>
      </c>
      <c r="AL141" s="16"/>
    </row>
    <row r="142" ht="22.5" customHeight="1">
      <c r="A142" s="4">
        <v>45846.53496420139</v>
      </c>
      <c r="B142" s="5">
        <v>45835.0</v>
      </c>
      <c r="C142" s="6" t="s">
        <v>1886</v>
      </c>
      <c r="D142" s="6" t="s">
        <v>1887</v>
      </c>
      <c r="E142" s="6" t="s">
        <v>1882</v>
      </c>
      <c r="F142" s="6" t="s">
        <v>1869</v>
      </c>
      <c r="G142" s="6" t="s">
        <v>377</v>
      </c>
      <c r="H142" s="7" t="s">
        <v>1870</v>
      </c>
      <c r="I142" s="6" t="s">
        <v>1871</v>
      </c>
      <c r="J142" s="6" t="s">
        <v>1872</v>
      </c>
      <c r="K142" s="6" t="s">
        <v>336</v>
      </c>
      <c r="L142" s="7" t="s">
        <v>1873</v>
      </c>
      <c r="M142" s="5">
        <v>45808.0</v>
      </c>
      <c r="N142" s="6" t="s">
        <v>48</v>
      </c>
      <c r="O142" s="6" t="s">
        <v>1888</v>
      </c>
      <c r="P142" s="6" t="s">
        <v>48</v>
      </c>
      <c r="Q142" s="6" t="s">
        <v>1889</v>
      </c>
      <c r="R142" s="6" t="s">
        <v>1883</v>
      </c>
      <c r="S142" s="6" t="s">
        <v>1884</v>
      </c>
      <c r="T142" s="6" t="s">
        <v>217</v>
      </c>
      <c r="U142" s="5">
        <v>44246.0</v>
      </c>
      <c r="V142" s="6" t="s">
        <v>54</v>
      </c>
      <c r="W142" s="6" t="s">
        <v>55</v>
      </c>
      <c r="X142" s="6" t="s">
        <v>102</v>
      </c>
      <c r="Y142" s="6" t="s">
        <v>123</v>
      </c>
      <c r="Z142" s="6" t="s">
        <v>1878</v>
      </c>
      <c r="AA142" s="6" t="s">
        <v>1890</v>
      </c>
      <c r="AD142" s="7" t="s">
        <v>1880</v>
      </c>
      <c r="AE142" s="7" t="s">
        <v>1880</v>
      </c>
      <c r="AH142" s="10" t="str">
        <f t="shared" ref="AH142:AH143" si="25">HYPERLINK("https://drive.google.com/file/d/1cx8NYVagO94AqsTvkefk9D5UicE-_ayj/view?usp=drivesdk", "https://drive.google.com/file/d/1cx8NYVagO94AqsTvkefk9D5UicE-_ayj/view?usp=drivesdk")</f>
        <v>https://drive.google.com/file/d/1cx8NYVagO94AqsTvkefk9D5UicE-_ayj/view?usp=drivesdk</v>
      </c>
      <c r="AJ142" s="6" t="s">
        <v>1891</v>
      </c>
      <c r="AK142" s="6" t="s">
        <v>61</v>
      </c>
      <c r="AL142" s="13"/>
    </row>
    <row r="143" ht="22.5" customHeight="1">
      <c r="A143" s="4">
        <v>45846.538155682865</v>
      </c>
      <c r="B143" s="5">
        <v>45835.0</v>
      </c>
      <c r="C143" s="6" t="s">
        <v>1886</v>
      </c>
      <c r="D143" s="6" t="s">
        <v>1887</v>
      </c>
      <c r="E143" s="6" t="s">
        <v>1882</v>
      </c>
      <c r="F143" s="6" t="s">
        <v>1869</v>
      </c>
      <c r="G143" s="6" t="s">
        <v>377</v>
      </c>
      <c r="H143" s="7" t="s">
        <v>1870</v>
      </c>
      <c r="I143" s="6" t="s">
        <v>1871</v>
      </c>
      <c r="J143" s="6" t="s">
        <v>1872</v>
      </c>
      <c r="K143" s="6" t="s">
        <v>336</v>
      </c>
      <c r="L143" s="7" t="s">
        <v>1873</v>
      </c>
      <c r="M143" s="5">
        <v>45808.0</v>
      </c>
      <c r="N143" s="6" t="s">
        <v>504</v>
      </c>
      <c r="O143" s="6" t="s">
        <v>1888</v>
      </c>
      <c r="P143" s="6" t="s">
        <v>504</v>
      </c>
      <c r="Q143" s="6" t="s">
        <v>1889</v>
      </c>
      <c r="R143" s="6" t="s">
        <v>1883</v>
      </c>
      <c r="S143" s="6" t="s">
        <v>1884</v>
      </c>
      <c r="T143" s="6" t="s">
        <v>217</v>
      </c>
      <c r="U143" s="5">
        <v>44246.0</v>
      </c>
      <c r="V143" s="6" t="s">
        <v>54</v>
      </c>
      <c r="W143" s="6" t="s">
        <v>55</v>
      </c>
      <c r="X143" s="6" t="s">
        <v>102</v>
      </c>
      <c r="Y143" s="6" t="s">
        <v>123</v>
      </c>
      <c r="Z143" s="6" t="s">
        <v>1878</v>
      </c>
      <c r="AA143" s="6" t="s">
        <v>1890</v>
      </c>
      <c r="AD143" s="7" t="s">
        <v>1880</v>
      </c>
      <c r="AE143" s="7" t="s">
        <v>1880</v>
      </c>
      <c r="AH143" s="11" t="str">
        <f t="shared" si="25"/>
        <v>https://drive.google.com/file/d/1cx8NYVagO94AqsTvkefk9D5UicE-_ayj/view?usp=drivesdk</v>
      </c>
      <c r="AJ143" s="6" t="s">
        <v>1885</v>
      </c>
      <c r="AK143" s="6" t="s">
        <v>61</v>
      </c>
      <c r="AL143" s="13"/>
    </row>
    <row r="144" ht="22.5" customHeight="1">
      <c r="A144" s="4">
        <v>45846.55038990741</v>
      </c>
      <c r="B144" s="5">
        <v>45835.0</v>
      </c>
      <c r="C144" s="6" t="s">
        <v>1892</v>
      </c>
      <c r="D144" s="6" t="s">
        <v>1893</v>
      </c>
      <c r="E144" s="6" t="s">
        <v>467</v>
      </c>
      <c r="F144" s="6" t="s">
        <v>468</v>
      </c>
      <c r="G144" s="6" t="s">
        <v>171</v>
      </c>
      <c r="H144" s="7" t="s">
        <v>1894</v>
      </c>
      <c r="I144" s="6" t="s">
        <v>1895</v>
      </c>
      <c r="J144" s="6" t="s">
        <v>1896</v>
      </c>
      <c r="K144" s="6" t="s">
        <v>1897</v>
      </c>
      <c r="L144" s="7" t="s">
        <v>1898</v>
      </c>
      <c r="M144" s="5">
        <v>45808.0</v>
      </c>
      <c r="N144" s="6" t="s">
        <v>504</v>
      </c>
      <c r="O144" s="6" t="s">
        <v>1899</v>
      </c>
      <c r="P144" s="6" t="s">
        <v>504</v>
      </c>
      <c r="Q144" s="6" t="s">
        <v>1900</v>
      </c>
      <c r="R144" s="6" t="s">
        <v>1901</v>
      </c>
      <c r="S144" s="6" t="s">
        <v>1902</v>
      </c>
      <c r="T144" s="6" t="s">
        <v>599</v>
      </c>
      <c r="U144" s="5">
        <v>43092.0</v>
      </c>
      <c r="V144" s="6" t="s">
        <v>54</v>
      </c>
      <c r="W144" s="6" t="s">
        <v>55</v>
      </c>
      <c r="X144" s="6" t="s">
        <v>102</v>
      </c>
      <c r="Y144" s="6" t="s">
        <v>78</v>
      </c>
      <c r="Z144" s="6" t="s">
        <v>1903</v>
      </c>
      <c r="AA144" s="6" t="s">
        <v>820</v>
      </c>
      <c r="AB144" s="6">
        <v>3157.0</v>
      </c>
      <c r="AC144" s="6" t="s">
        <v>1904</v>
      </c>
      <c r="AD144" s="7" t="s">
        <v>1898</v>
      </c>
      <c r="AE144" s="7" t="s">
        <v>1898</v>
      </c>
      <c r="AF144" s="6" t="s">
        <v>1905</v>
      </c>
      <c r="AG144" s="6" t="s">
        <v>1906</v>
      </c>
      <c r="AH144" s="10" t="str">
        <f>HYPERLINK("https://drive.google.com/file/d/1KJ7FKOauI2j5smTy2MgtSF_53tFeC1pY/view?usp=drivesdk", "https://drive.google.com/file/d/1KJ7FKOauI2j5smTy2MgtSF_53tFeC1pY/view?usp=drivesdk")</f>
        <v>https://drive.google.com/file/d/1KJ7FKOauI2j5smTy2MgtSF_53tFeC1pY/view?usp=drivesdk</v>
      </c>
      <c r="AK144" s="6" t="s">
        <v>483</v>
      </c>
      <c r="AL144" s="13"/>
    </row>
    <row r="145" ht="22.5" customHeight="1">
      <c r="A145" s="4">
        <v>45846.56097445602</v>
      </c>
      <c r="B145" s="5">
        <v>44866.0</v>
      </c>
      <c r="C145" s="6" t="s">
        <v>1907</v>
      </c>
      <c r="D145" s="6" t="s">
        <v>1908</v>
      </c>
      <c r="E145" s="6" t="s">
        <v>1909</v>
      </c>
      <c r="F145" s="6" t="s">
        <v>1910</v>
      </c>
      <c r="G145" s="6" t="s">
        <v>332</v>
      </c>
      <c r="H145" s="7" t="s">
        <v>1911</v>
      </c>
      <c r="I145" s="6" t="s">
        <v>1912</v>
      </c>
      <c r="J145" s="6" t="s">
        <v>1913</v>
      </c>
      <c r="K145" s="6" t="s">
        <v>336</v>
      </c>
      <c r="L145" s="7" t="s">
        <v>1911</v>
      </c>
      <c r="M145" s="5">
        <v>45808.0</v>
      </c>
      <c r="N145" s="6" t="s">
        <v>48</v>
      </c>
      <c r="O145" s="6" t="s">
        <v>1914</v>
      </c>
      <c r="P145" s="6" t="s">
        <v>48</v>
      </c>
      <c r="Q145" s="6" t="s">
        <v>1915</v>
      </c>
      <c r="R145" s="6" t="s">
        <v>1916</v>
      </c>
      <c r="S145" s="6" t="s">
        <v>1917</v>
      </c>
      <c r="T145" s="6" t="s">
        <v>1199</v>
      </c>
      <c r="U145" s="5">
        <v>41678.0</v>
      </c>
      <c r="V145" s="6" t="s">
        <v>54</v>
      </c>
      <c r="W145" s="6" t="s">
        <v>55</v>
      </c>
      <c r="X145" s="6" t="s">
        <v>102</v>
      </c>
      <c r="Z145" s="6" t="s">
        <v>1918</v>
      </c>
      <c r="AA145" s="6" t="s">
        <v>275</v>
      </c>
      <c r="AB145" s="6">
        <v>4.0</v>
      </c>
      <c r="AD145" s="7" t="s">
        <v>1911</v>
      </c>
      <c r="AE145" s="7" t="s">
        <v>1911</v>
      </c>
      <c r="AH145" s="11" t="str">
        <f>HYPERLINK("https://drive.google.com/file/d/10kdd97NWtLnzspNOLM0d3S5dFP99jC1m/view?usp=drivesdk", "https://drive.google.com/file/d/10kdd97NWtLnzspNOLM0d3S5dFP99jC1m/view?usp=drivesdk")</f>
        <v>https://drive.google.com/file/d/10kdd97NWtLnzspNOLM0d3S5dFP99jC1m/view?usp=drivesdk</v>
      </c>
      <c r="AK145" s="6" t="s">
        <v>483</v>
      </c>
      <c r="AL145" s="13"/>
    </row>
    <row r="146" ht="22.5" customHeight="1">
      <c r="A146" s="4">
        <v>45846.570469976854</v>
      </c>
      <c r="B146" s="5">
        <v>44866.0</v>
      </c>
      <c r="C146" s="6" t="s">
        <v>1919</v>
      </c>
      <c r="D146" s="6" t="s">
        <v>1920</v>
      </c>
      <c r="E146" s="6" t="s">
        <v>1909</v>
      </c>
      <c r="F146" s="6" t="s">
        <v>1910</v>
      </c>
      <c r="G146" s="6" t="s">
        <v>332</v>
      </c>
      <c r="H146" s="7" t="s">
        <v>1911</v>
      </c>
      <c r="I146" s="6" t="s">
        <v>1912</v>
      </c>
      <c r="J146" s="6" t="s">
        <v>1913</v>
      </c>
      <c r="K146" s="6" t="s">
        <v>336</v>
      </c>
      <c r="L146" s="7" t="s">
        <v>1911</v>
      </c>
      <c r="M146" s="5">
        <v>45808.0</v>
      </c>
      <c r="N146" s="6" t="s">
        <v>48</v>
      </c>
      <c r="O146" s="6" t="s">
        <v>1921</v>
      </c>
      <c r="P146" s="6" t="s">
        <v>48</v>
      </c>
      <c r="Q146" s="6" t="s">
        <v>1922</v>
      </c>
      <c r="R146" s="6" t="s">
        <v>1916</v>
      </c>
      <c r="S146" s="6" t="s">
        <v>1917</v>
      </c>
      <c r="T146" s="6" t="s">
        <v>1199</v>
      </c>
      <c r="U146" s="5">
        <v>42711.0</v>
      </c>
      <c r="V146" s="6" t="s">
        <v>54</v>
      </c>
      <c r="W146" s="6" t="s">
        <v>55</v>
      </c>
      <c r="X146" s="6" t="s">
        <v>102</v>
      </c>
      <c r="Z146" s="6" t="s">
        <v>1918</v>
      </c>
      <c r="AA146" s="6" t="s">
        <v>672</v>
      </c>
      <c r="AB146" s="6">
        <v>1.0</v>
      </c>
      <c r="AD146" s="7" t="s">
        <v>1911</v>
      </c>
      <c r="AE146" s="7" t="s">
        <v>1911</v>
      </c>
      <c r="AH146" s="10" t="str">
        <f>HYPERLINK("https://drive.google.com/file/d/1-8kuEoqDXVjtBhyjnmS5hQaVAgkUq_Sw/view?usp=drivesdk", "https://drive.google.com/file/d/1-8kuEoqDXVjtBhyjnmS5hQaVAgkUq_Sw/view?usp=drivesdk")</f>
        <v>https://drive.google.com/file/d/1-8kuEoqDXVjtBhyjnmS5hQaVAgkUq_Sw/view?usp=drivesdk</v>
      </c>
      <c r="AK146" s="6" t="s">
        <v>483</v>
      </c>
      <c r="AL146" s="13"/>
    </row>
    <row r="147" ht="22.5" customHeight="1">
      <c r="A147" s="4">
        <v>45846.58790344908</v>
      </c>
      <c r="B147" s="5">
        <v>44259.0</v>
      </c>
      <c r="C147" s="6" t="s">
        <v>1923</v>
      </c>
      <c r="D147" s="6" t="s">
        <v>1924</v>
      </c>
      <c r="E147" s="6" t="s">
        <v>1925</v>
      </c>
      <c r="F147" s="6" t="s">
        <v>1926</v>
      </c>
      <c r="G147" s="6" t="s">
        <v>332</v>
      </c>
      <c r="H147" s="7" t="s">
        <v>1927</v>
      </c>
      <c r="I147" s="6" t="s">
        <v>1928</v>
      </c>
      <c r="J147" s="6" t="s">
        <v>1929</v>
      </c>
      <c r="K147" s="6" t="s">
        <v>1930</v>
      </c>
      <c r="L147" s="7" t="s">
        <v>1931</v>
      </c>
      <c r="M147" s="5">
        <v>45808.0</v>
      </c>
      <c r="N147" s="6" t="s">
        <v>48</v>
      </c>
      <c r="O147" s="6" t="s">
        <v>1932</v>
      </c>
      <c r="P147" s="6" t="s">
        <v>48</v>
      </c>
      <c r="Q147" s="6" t="s">
        <v>1933</v>
      </c>
      <c r="R147" s="6" t="s">
        <v>1934</v>
      </c>
      <c r="S147" s="6" t="s">
        <v>1935</v>
      </c>
      <c r="T147" s="6" t="s">
        <v>234</v>
      </c>
      <c r="U147" s="5">
        <v>42373.0</v>
      </c>
      <c r="V147" s="6" t="s">
        <v>54</v>
      </c>
      <c r="W147" s="6" t="s">
        <v>55</v>
      </c>
      <c r="X147" s="6" t="s">
        <v>102</v>
      </c>
      <c r="Y147" s="6" t="s">
        <v>123</v>
      </c>
      <c r="Z147" s="6" t="s">
        <v>1936</v>
      </c>
      <c r="AA147" s="6" t="s">
        <v>672</v>
      </c>
      <c r="AB147" s="6">
        <v>1.0</v>
      </c>
      <c r="AD147" s="7" t="s">
        <v>1931</v>
      </c>
      <c r="AE147" s="7" t="s">
        <v>1931</v>
      </c>
      <c r="AF147" s="6" t="s">
        <v>1937</v>
      </c>
      <c r="AG147" s="6" t="s">
        <v>1929</v>
      </c>
      <c r="AH147" s="11" t="str">
        <f>HYPERLINK("https://drive.google.com/file/d/1C5rwyabCZusf6rAAQmbHCSUNVt5eji3P/view?usp=drivesdk", "https://drive.google.com/file/d/1C5rwyabCZusf6rAAQmbHCSUNVt5eji3P/view?usp=drivesdk")</f>
        <v>https://drive.google.com/file/d/1C5rwyabCZusf6rAAQmbHCSUNVt5eji3P/view?usp=drivesdk</v>
      </c>
      <c r="AK147" s="6" t="s">
        <v>483</v>
      </c>
      <c r="AL147" s="13"/>
    </row>
    <row r="148" ht="22.5" customHeight="1">
      <c r="A148" s="4">
        <v>45846.64090496528</v>
      </c>
      <c r="B148" s="5">
        <v>44927.0</v>
      </c>
      <c r="C148" s="6" t="s">
        <v>1938</v>
      </c>
      <c r="D148" s="6" t="s">
        <v>1939</v>
      </c>
      <c r="E148" s="6" t="s">
        <v>1940</v>
      </c>
      <c r="F148" s="6" t="s">
        <v>1941</v>
      </c>
      <c r="G148" s="6" t="s">
        <v>332</v>
      </c>
      <c r="H148" s="7" t="s">
        <v>1942</v>
      </c>
      <c r="I148" s="6" t="s">
        <v>1943</v>
      </c>
      <c r="J148" s="6" t="s">
        <v>1944</v>
      </c>
      <c r="K148" s="6" t="s">
        <v>154</v>
      </c>
      <c r="L148" s="7" t="s">
        <v>1945</v>
      </c>
      <c r="M148" s="5">
        <v>45808.0</v>
      </c>
      <c r="N148" s="6" t="s">
        <v>48</v>
      </c>
      <c r="O148" s="6" t="s">
        <v>1946</v>
      </c>
      <c r="P148" s="6" t="s">
        <v>48</v>
      </c>
      <c r="Q148" s="6" t="s">
        <v>1947</v>
      </c>
      <c r="R148" s="6" t="s">
        <v>1948</v>
      </c>
      <c r="S148" s="6" t="s">
        <v>1949</v>
      </c>
      <c r="T148" s="6" t="s">
        <v>1663</v>
      </c>
      <c r="U148" s="5">
        <v>42748.0</v>
      </c>
      <c r="V148" s="6" t="s">
        <v>54</v>
      </c>
      <c r="W148" s="6" t="s">
        <v>55</v>
      </c>
      <c r="X148" s="6" t="s">
        <v>102</v>
      </c>
      <c r="Y148" s="6" t="s">
        <v>160</v>
      </c>
      <c r="Z148" s="6" t="s">
        <v>1950</v>
      </c>
      <c r="AA148" s="6" t="s">
        <v>820</v>
      </c>
      <c r="AB148" s="6">
        <v>12.0</v>
      </c>
      <c r="AD148" s="7" t="s">
        <v>1942</v>
      </c>
      <c r="AE148" s="7" t="s">
        <v>1942</v>
      </c>
      <c r="AF148" s="6" t="s">
        <v>1951</v>
      </c>
      <c r="AH148" s="10" t="str">
        <f>HYPERLINK("https://drive.google.com/file/d/1dtUfWCZMz6Oz4M95uVjRuPCTghsdGOoO/view?usp=drivesdk", "https://drive.google.com/file/d/1dtUfWCZMz6Oz4M95uVjRuPCTghsdGOoO/view?usp=drivesdk")</f>
        <v>https://drive.google.com/file/d/1dtUfWCZMz6Oz4M95uVjRuPCTghsdGOoO/view?usp=drivesdk</v>
      </c>
      <c r="AK148" s="6" t="s">
        <v>483</v>
      </c>
      <c r="AL148" s="13"/>
    </row>
    <row r="149" ht="22.5" customHeight="1">
      <c r="A149" s="4">
        <v>45846.65413246528</v>
      </c>
      <c r="B149" s="5">
        <v>45170.0</v>
      </c>
      <c r="C149" s="6" t="s">
        <v>1952</v>
      </c>
      <c r="D149" s="6" t="s">
        <v>1953</v>
      </c>
      <c r="E149" s="6" t="s">
        <v>1954</v>
      </c>
      <c r="F149" s="6" t="s">
        <v>1955</v>
      </c>
      <c r="G149" s="6" t="s">
        <v>1956</v>
      </c>
      <c r="H149" s="7" t="s">
        <v>1957</v>
      </c>
      <c r="I149" s="6" t="s">
        <v>1958</v>
      </c>
      <c r="J149" s="6" t="s">
        <v>1959</v>
      </c>
      <c r="K149" s="6" t="s">
        <v>336</v>
      </c>
      <c r="L149" s="7" t="s">
        <v>1960</v>
      </c>
      <c r="M149" s="5">
        <v>45808.0</v>
      </c>
      <c r="N149" s="6" t="s">
        <v>48</v>
      </c>
      <c r="O149" s="6" t="s">
        <v>1961</v>
      </c>
      <c r="P149" s="6" t="s">
        <v>48</v>
      </c>
      <c r="R149" s="6" t="s">
        <v>1962</v>
      </c>
      <c r="S149" s="6" t="s">
        <v>1963</v>
      </c>
      <c r="T149" s="6" t="s">
        <v>101</v>
      </c>
      <c r="U149" s="5">
        <v>43765.0</v>
      </c>
      <c r="V149" s="6" t="s">
        <v>54</v>
      </c>
      <c r="W149" s="6" t="s">
        <v>77</v>
      </c>
      <c r="X149" s="6" t="s">
        <v>102</v>
      </c>
      <c r="Y149" s="6" t="s">
        <v>78</v>
      </c>
      <c r="Z149" s="6" t="s">
        <v>1964</v>
      </c>
      <c r="AA149" s="6" t="s">
        <v>1965</v>
      </c>
      <c r="AD149" s="7" t="s">
        <v>1960</v>
      </c>
      <c r="AE149" s="7" t="s">
        <v>1960</v>
      </c>
      <c r="AH149" s="11" t="str">
        <f>HYPERLINK("https://drive.google.com/file/d/1zw8Gbri3BBgNdND231_hCSYxIzQ68A7C/view?usp=drivesdk", "https://drive.google.com/file/d/1zw8Gbri3BBgNdND231_hCSYxIzQ68A7C/view?usp=drivesdk")</f>
        <v>https://drive.google.com/file/d/1zw8Gbri3BBgNdND231_hCSYxIzQ68A7C/view?usp=drivesdk</v>
      </c>
      <c r="AK149" s="6" t="s">
        <v>483</v>
      </c>
      <c r="AL149" s="13"/>
    </row>
    <row r="150" ht="22.5" customHeight="1">
      <c r="A150" s="4">
        <v>45846.67807108797</v>
      </c>
      <c r="B150" s="5">
        <v>45835.0</v>
      </c>
      <c r="C150" s="6" t="s">
        <v>1966</v>
      </c>
      <c r="D150" s="6" t="s">
        <v>1967</v>
      </c>
      <c r="E150" s="6" t="s">
        <v>1968</v>
      </c>
      <c r="F150" s="6" t="s">
        <v>1969</v>
      </c>
      <c r="G150" s="6" t="s">
        <v>91</v>
      </c>
      <c r="H150" s="7" t="s">
        <v>1970</v>
      </c>
      <c r="I150" s="6" t="s">
        <v>1971</v>
      </c>
      <c r="J150" s="6" t="s">
        <v>1972</v>
      </c>
      <c r="K150" s="6" t="s">
        <v>91</v>
      </c>
      <c r="L150" s="7" t="s">
        <v>1973</v>
      </c>
      <c r="M150" s="5">
        <v>45808.0</v>
      </c>
      <c r="N150" s="6" t="s">
        <v>48</v>
      </c>
      <c r="O150" s="6" t="s">
        <v>1974</v>
      </c>
      <c r="P150" s="6" t="s">
        <v>48</v>
      </c>
      <c r="Q150" s="6" t="s">
        <v>1975</v>
      </c>
      <c r="R150" s="6" t="s">
        <v>1976</v>
      </c>
      <c r="S150" s="6" t="s">
        <v>1977</v>
      </c>
      <c r="T150" s="6" t="s">
        <v>273</v>
      </c>
      <c r="U150" s="5">
        <v>42030.0</v>
      </c>
      <c r="V150" s="6" t="s">
        <v>54</v>
      </c>
      <c r="W150" s="6" t="s">
        <v>77</v>
      </c>
      <c r="X150" s="6" t="s">
        <v>102</v>
      </c>
      <c r="Y150" s="6" t="s">
        <v>160</v>
      </c>
      <c r="Z150" s="6" t="s">
        <v>1978</v>
      </c>
      <c r="AA150" s="6" t="s">
        <v>219</v>
      </c>
      <c r="AB150" s="6">
        <v>2.0</v>
      </c>
      <c r="AC150" s="6" t="s">
        <v>656</v>
      </c>
      <c r="AD150" s="7" t="s">
        <v>1970</v>
      </c>
      <c r="AE150" s="7" t="s">
        <v>1973</v>
      </c>
      <c r="AF150" s="6" t="s">
        <v>1979</v>
      </c>
      <c r="AG150" s="6" t="s">
        <v>1980</v>
      </c>
      <c r="AH150" s="10" t="str">
        <f>HYPERLINK("https://drive.google.com/file/d/144xE_pXlQUweSRSxma8xa7TS3kJhZWrd/view?usp=drivesdk", "https://drive.google.com/file/d/144xE_pXlQUweSRSxma8xa7TS3kJhZWrd/view?usp=drivesdk")</f>
        <v>https://drive.google.com/file/d/144xE_pXlQUweSRSxma8xa7TS3kJhZWrd/view?usp=drivesdk</v>
      </c>
      <c r="AK150" s="6" t="s">
        <v>483</v>
      </c>
      <c r="AL150" s="13"/>
    </row>
    <row r="151" ht="22.5" customHeight="1">
      <c r="A151" s="4">
        <v>45846.684558900466</v>
      </c>
      <c r="B151" s="5">
        <v>45835.0</v>
      </c>
      <c r="C151" s="6" t="s">
        <v>1981</v>
      </c>
      <c r="D151" s="6" t="s">
        <v>1982</v>
      </c>
      <c r="E151" s="6" t="s">
        <v>1968</v>
      </c>
      <c r="F151" s="6" t="s">
        <v>1969</v>
      </c>
      <c r="G151" s="6" t="s">
        <v>91</v>
      </c>
      <c r="H151" s="7" t="s">
        <v>1970</v>
      </c>
      <c r="I151" s="6" t="s">
        <v>1971</v>
      </c>
      <c r="J151" s="6" t="s">
        <v>1972</v>
      </c>
      <c r="K151" s="6" t="s">
        <v>91</v>
      </c>
      <c r="L151" s="7" t="s">
        <v>1973</v>
      </c>
      <c r="M151" s="5">
        <v>45808.0</v>
      </c>
      <c r="N151" s="6" t="s">
        <v>48</v>
      </c>
      <c r="O151" s="6" t="s">
        <v>1983</v>
      </c>
      <c r="P151" s="6" t="s">
        <v>48</v>
      </c>
      <c r="Q151" s="6" t="s">
        <v>1984</v>
      </c>
      <c r="R151" s="6" t="s">
        <v>1976</v>
      </c>
      <c r="S151" s="6" t="s">
        <v>1977</v>
      </c>
      <c r="T151" s="6" t="s">
        <v>273</v>
      </c>
      <c r="U151" s="5">
        <v>42761.0</v>
      </c>
      <c r="V151" s="6" t="s">
        <v>54</v>
      </c>
      <c r="W151" s="6" t="s">
        <v>77</v>
      </c>
      <c r="X151" s="6" t="s">
        <v>102</v>
      </c>
      <c r="Y151" s="6" t="s">
        <v>160</v>
      </c>
      <c r="Z151" s="6" t="s">
        <v>1978</v>
      </c>
      <c r="AA151" s="6" t="s">
        <v>275</v>
      </c>
      <c r="AB151" s="6">
        <v>3.0</v>
      </c>
      <c r="AC151" s="6" t="s">
        <v>656</v>
      </c>
      <c r="AD151" s="7" t="s">
        <v>1970</v>
      </c>
      <c r="AE151" s="7" t="s">
        <v>1973</v>
      </c>
      <c r="AF151" s="6" t="s">
        <v>1979</v>
      </c>
      <c r="AG151" s="6" t="s">
        <v>1980</v>
      </c>
      <c r="AH151" s="11" t="str">
        <f>HYPERLINK("https://drive.google.com/file/d/1XjsvibYNGnfUUvAKHUkBVhO2Kr3z9kvi/view?usp=drivesdk", "https://drive.google.com/file/d/1XjsvibYNGnfUUvAKHUkBVhO2Kr3z9kvi/view?usp=drivesdk")</f>
        <v>https://drive.google.com/file/d/1XjsvibYNGnfUUvAKHUkBVhO2Kr3z9kvi/view?usp=drivesdk</v>
      </c>
      <c r="AK151" s="6" t="s">
        <v>483</v>
      </c>
      <c r="AL151" s="13"/>
    </row>
    <row r="152" ht="22.5" customHeight="1">
      <c r="A152" s="4">
        <v>45846.75418097222</v>
      </c>
      <c r="B152" s="5">
        <v>42921.0</v>
      </c>
      <c r="C152" s="6" t="s">
        <v>1985</v>
      </c>
      <c r="D152" s="6" t="s">
        <v>1986</v>
      </c>
      <c r="E152" s="6" t="s">
        <v>1987</v>
      </c>
      <c r="F152" s="6" t="s">
        <v>1988</v>
      </c>
      <c r="G152" s="6" t="s">
        <v>66</v>
      </c>
      <c r="H152" s="7" t="s">
        <v>1989</v>
      </c>
      <c r="I152" s="6" t="s">
        <v>1990</v>
      </c>
      <c r="J152" s="6" t="s">
        <v>1991</v>
      </c>
      <c r="K152" s="6" t="s">
        <v>46</v>
      </c>
      <c r="L152" s="7" t="s">
        <v>1992</v>
      </c>
      <c r="M152" s="5">
        <v>45808.0</v>
      </c>
      <c r="N152" s="6" t="s">
        <v>48</v>
      </c>
      <c r="O152" s="6" t="s">
        <v>1993</v>
      </c>
      <c r="P152" s="6" t="s">
        <v>48</v>
      </c>
      <c r="Q152" s="6" t="s">
        <v>1994</v>
      </c>
      <c r="R152" s="6" t="s">
        <v>1995</v>
      </c>
      <c r="S152" s="6" t="s">
        <v>1996</v>
      </c>
      <c r="T152" s="6" t="s">
        <v>1049</v>
      </c>
      <c r="U152" s="5">
        <v>41825.0</v>
      </c>
      <c r="V152" s="6" t="s">
        <v>54</v>
      </c>
      <c r="W152" s="6" t="s">
        <v>77</v>
      </c>
      <c r="X152" s="6" t="s">
        <v>102</v>
      </c>
      <c r="Y152" s="6" t="s">
        <v>123</v>
      </c>
      <c r="Z152" s="6" t="s">
        <v>1997</v>
      </c>
      <c r="AA152" s="6" t="s">
        <v>324</v>
      </c>
      <c r="AB152" s="6">
        <v>24.0</v>
      </c>
      <c r="AD152" s="7" t="s">
        <v>1998</v>
      </c>
      <c r="AE152" s="7" t="s">
        <v>1992</v>
      </c>
      <c r="AH152" s="10" t="str">
        <f>HYPERLINK("https://drive.google.com/file/d/1aPJ2BRK2VHtuLc8Y2LWv4JnQHQbD8PN_/view?usp=drivesdk", "https://drive.google.com/file/d/1aPJ2BRK2VHtuLc8Y2LWv4JnQHQbD8PN_/view?usp=drivesdk")</f>
        <v>https://drive.google.com/file/d/1aPJ2BRK2VHtuLc8Y2LWv4JnQHQbD8PN_/view?usp=drivesdk</v>
      </c>
      <c r="AK152" s="6" t="s">
        <v>61</v>
      </c>
      <c r="AL152" s="13"/>
    </row>
    <row r="153" ht="22.5" customHeight="1">
      <c r="A153" s="4">
        <v>45846.75917107639</v>
      </c>
      <c r="B153" s="5">
        <v>45302.0</v>
      </c>
      <c r="C153" s="6" t="s">
        <v>1999</v>
      </c>
      <c r="D153" s="6" t="s">
        <v>2000</v>
      </c>
      <c r="E153" s="6" t="s">
        <v>2001</v>
      </c>
      <c r="F153" s="6" t="s">
        <v>2002</v>
      </c>
      <c r="G153" s="6" t="s">
        <v>332</v>
      </c>
      <c r="H153" s="7" t="s">
        <v>2003</v>
      </c>
      <c r="I153" s="6" t="s">
        <v>2004</v>
      </c>
      <c r="J153" s="6" t="s">
        <v>2005</v>
      </c>
      <c r="K153" s="6" t="s">
        <v>336</v>
      </c>
      <c r="L153" s="7" t="s">
        <v>2006</v>
      </c>
      <c r="M153" s="5">
        <v>45808.0</v>
      </c>
      <c r="N153" s="6" t="s">
        <v>48</v>
      </c>
      <c r="O153" s="6" t="s">
        <v>2007</v>
      </c>
      <c r="P153" s="6" t="s">
        <v>48</v>
      </c>
      <c r="Q153" s="6" t="s">
        <v>2008</v>
      </c>
      <c r="R153" s="6" t="s">
        <v>2009</v>
      </c>
      <c r="S153" s="6" t="s">
        <v>2010</v>
      </c>
      <c r="T153" s="6" t="s">
        <v>637</v>
      </c>
      <c r="U153" s="5">
        <v>43201.0</v>
      </c>
      <c r="V153" s="6" t="s">
        <v>54</v>
      </c>
      <c r="W153" s="6" t="s">
        <v>77</v>
      </c>
      <c r="X153" s="6" t="s">
        <v>102</v>
      </c>
      <c r="Y153" s="6" t="s">
        <v>78</v>
      </c>
      <c r="Z153" s="6" t="s">
        <v>2011</v>
      </c>
      <c r="AA153" s="6" t="s">
        <v>820</v>
      </c>
      <c r="AB153" s="6">
        <v>16.0</v>
      </c>
      <c r="AD153" s="7" t="s">
        <v>2003</v>
      </c>
      <c r="AE153" s="7" t="s">
        <v>2006</v>
      </c>
      <c r="AF153" s="6" t="s">
        <v>2012</v>
      </c>
      <c r="AH153" s="11" t="str">
        <f t="shared" ref="AH153:AH154" si="26">HYPERLINK("https://drive.google.com/file/d/1AtPgWqiPl9VKmswgse4Wg1H6BYKkYH0y/view?usp=drivesdk", "https://drive.google.com/file/d/1AtPgWqiPl9VKmswgse4Wg1H6BYKkYH0y/view?usp=drivesdk")</f>
        <v>https://drive.google.com/file/d/1AtPgWqiPl9VKmswgse4Wg1H6BYKkYH0y/view?usp=drivesdk</v>
      </c>
      <c r="AK153" s="6" t="s">
        <v>483</v>
      </c>
      <c r="AL153" s="13"/>
    </row>
    <row r="154" ht="22.5" customHeight="1">
      <c r="A154" s="4">
        <v>45846.761443854164</v>
      </c>
      <c r="B154" s="5">
        <v>45302.0</v>
      </c>
      <c r="C154" s="6" t="s">
        <v>1999</v>
      </c>
      <c r="D154" s="6" t="s">
        <v>2000</v>
      </c>
      <c r="E154" s="6" t="s">
        <v>2001</v>
      </c>
      <c r="F154" s="6" t="s">
        <v>2002</v>
      </c>
      <c r="G154" s="6" t="s">
        <v>332</v>
      </c>
      <c r="H154" s="7" t="s">
        <v>2003</v>
      </c>
      <c r="I154" s="6" t="s">
        <v>2004</v>
      </c>
      <c r="J154" s="6" t="s">
        <v>2005</v>
      </c>
      <c r="K154" s="6" t="s">
        <v>336</v>
      </c>
      <c r="L154" s="7" t="s">
        <v>2006</v>
      </c>
      <c r="M154" s="5">
        <v>45808.0</v>
      </c>
      <c r="N154" s="6" t="s">
        <v>504</v>
      </c>
      <c r="O154" s="6" t="s">
        <v>2007</v>
      </c>
      <c r="P154" s="6" t="s">
        <v>504</v>
      </c>
      <c r="Q154" s="6" t="s">
        <v>2008</v>
      </c>
      <c r="R154" s="6" t="s">
        <v>2009</v>
      </c>
      <c r="S154" s="6" t="s">
        <v>2010</v>
      </c>
      <c r="T154" s="6" t="s">
        <v>637</v>
      </c>
      <c r="U154" s="5">
        <v>43201.0</v>
      </c>
      <c r="V154" s="6" t="s">
        <v>54</v>
      </c>
      <c r="W154" s="6" t="s">
        <v>77</v>
      </c>
      <c r="X154" s="6" t="s">
        <v>102</v>
      </c>
      <c r="Y154" s="6" t="s">
        <v>78</v>
      </c>
      <c r="Z154" s="6" t="s">
        <v>2011</v>
      </c>
      <c r="AA154" s="6" t="s">
        <v>820</v>
      </c>
      <c r="AB154" s="6">
        <v>16.0</v>
      </c>
      <c r="AD154" s="7" t="s">
        <v>2003</v>
      </c>
      <c r="AE154" s="7" t="s">
        <v>2006</v>
      </c>
      <c r="AF154" s="6" t="s">
        <v>2012</v>
      </c>
      <c r="AH154" s="10" t="str">
        <f t="shared" si="26"/>
        <v>https://drive.google.com/file/d/1AtPgWqiPl9VKmswgse4Wg1H6BYKkYH0y/view?usp=drivesdk</v>
      </c>
      <c r="AK154" s="6" t="s">
        <v>483</v>
      </c>
      <c r="AL154" s="13"/>
    </row>
    <row r="155" ht="22.5" customHeight="1">
      <c r="A155" s="4">
        <v>45846.76236596065</v>
      </c>
      <c r="B155" s="5">
        <v>44382.0</v>
      </c>
      <c r="C155" s="6" t="s">
        <v>2013</v>
      </c>
      <c r="D155" s="6" t="s">
        <v>2014</v>
      </c>
      <c r="E155" s="6" t="s">
        <v>2015</v>
      </c>
      <c r="F155" s="6" t="s">
        <v>2016</v>
      </c>
      <c r="G155" s="6" t="s">
        <v>66</v>
      </c>
      <c r="H155" s="7" t="s">
        <v>2017</v>
      </c>
      <c r="I155" s="6" t="s">
        <v>2018</v>
      </c>
      <c r="J155" s="6" t="s">
        <v>2019</v>
      </c>
      <c r="K155" s="6" t="s">
        <v>154</v>
      </c>
      <c r="L155" s="7" t="s">
        <v>2020</v>
      </c>
      <c r="M155" s="5">
        <v>45808.0</v>
      </c>
      <c r="N155" s="6" t="s">
        <v>48</v>
      </c>
      <c r="O155" s="6" t="s">
        <v>2021</v>
      </c>
      <c r="P155" s="6" t="s">
        <v>48</v>
      </c>
      <c r="Q155" s="6" t="s">
        <v>2022</v>
      </c>
      <c r="R155" s="6" t="s">
        <v>2023</v>
      </c>
      <c r="S155" s="6" t="s">
        <v>2024</v>
      </c>
      <c r="T155" s="6" t="s">
        <v>1049</v>
      </c>
      <c r="U155" s="5">
        <v>42231.0</v>
      </c>
      <c r="V155" s="6" t="s">
        <v>54</v>
      </c>
      <c r="W155" s="6" t="s">
        <v>77</v>
      </c>
      <c r="X155" s="6" t="s">
        <v>102</v>
      </c>
      <c r="Y155" s="6" t="s">
        <v>123</v>
      </c>
      <c r="Z155" s="6" t="s">
        <v>2025</v>
      </c>
      <c r="AA155" s="6" t="s">
        <v>2026</v>
      </c>
      <c r="AC155" s="6" t="s">
        <v>1351</v>
      </c>
      <c r="AD155" s="7" t="s">
        <v>2017</v>
      </c>
      <c r="AE155" s="7" t="s">
        <v>2017</v>
      </c>
      <c r="AH155" s="11" t="str">
        <f t="shared" ref="AH155:AH156" si="27">HYPERLINK("https://drive.google.com/file/d/1Cq-RnqFvuNm30mUIr0b8M3tZjUB1-gy5/view?usp=drivesdk", "https://drive.google.com/file/d/1Cq-RnqFvuNm30mUIr0b8M3tZjUB1-gy5/view?usp=drivesdk")</f>
        <v>https://drive.google.com/file/d/1Cq-RnqFvuNm30mUIr0b8M3tZjUB1-gy5/view?usp=drivesdk</v>
      </c>
      <c r="AJ155" s="6" t="s">
        <v>2027</v>
      </c>
      <c r="AK155" s="6" t="s">
        <v>61</v>
      </c>
      <c r="AL155" s="13"/>
    </row>
    <row r="156" ht="22.5" customHeight="1">
      <c r="A156" s="4">
        <v>45846.76965559028</v>
      </c>
      <c r="B156" s="5">
        <v>44382.0</v>
      </c>
      <c r="C156" s="6" t="s">
        <v>2013</v>
      </c>
      <c r="D156" s="6" t="s">
        <v>2014</v>
      </c>
      <c r="E156" s="6" t="s">
        <v>2015</v>
      </c>
      <c r="F156" s="6" t="s">
        <v>2016</v>
      </c>
      <c r="G156" s="6" t="s">
        <v>66</v>
      </c>
      <c r="H156" s="7" t="s">
        <v>2017</v>
      </c>
      <c r="I156" s="6" t="s">
        <v>2018</v>
      </c>
      <c r="J156" s="6" t="s">
        <v>2019</v>
      </c>
      <c r="K156" s="6" t="s">
        <v>154</v>
      </c>
      <c r="L156" s="7" t="s">
        <v>2020</v>
      </c>
      <c r="M156" s="5">
        <v>45808.0</v>
      </c>
      <c r="N156" s="6" t="s">
        <v>176</v>
      </c>
      <c r="O156" s="6" t="s">
        <v>2021</v>
      </c>
      <c r="P156" s="6" t="s">
        <v>176</v>
      </c>
      <c r="Q156" s="6" t="s">
        <v>2022</v>
      </c>
      <c r="R156" s="6" t="s">
        <v>2023</v>
      </c>
      <c r="S156" s="6" t="s">
        <v>2024</v>
      </c>
      <c r="T156" s="6" t="s">
        <v>1049</v>
      </c>
      <c r="U156" s="5">
        <v>42231.0</v>
      </c>
      <c r="V156" s="6" t="s">
        <v>54</v>
      </c>
      <c r="W156" s="6" t="s">
        <v>77</v>
      </c>
      <c r="X156" s="6" t="s">
        <v>102</v>
      </c>
      <c r="Y156" s="6" t="s">
        <v>123</v>
      </c>
      <c r="Z156" s="6" t="s">
        <v>2025</v>
      </c>
      <c r="AA156" s="6" t="s">
        <v>2026</v>
      </c>
      <c r="AC156" s="6" t="s">
        <v>1351</v>
      </c>
      <c r="AD156" s="7" t="s">
        <v>2017</v>
      </c>
      <c r="AE156" s="7" t="s">
        <v>2017</v>
      </c>
      <c r="AH156" s="10" t="str">
        <f t="shared" si="27"/>
        <v>https://drive.google.com/file/d/1Cq-RnqFvuNm30mUIr0b8M3tZjUB1-gy5/view?usp=drivesdk</v>
      </c>
      <c r="AJ156" s="6" t="s">
        <v>2028</v>
      </c>
      <c r="AK156" s="6" t="s">
        <v>61</v>
      </c>
      <c r="AL156" s="13"/>
    </row>
    <row r="157" ht="22.5" customHeight="1">
      <c r="A157" s="4">
        <v>45846.779909861114</v>
      </c>
      <c r="B157" s="5">
        <v>44409.0</v>
      </c>
      <c r="C157" s="6" t="s">
        <v>2029</v>
      </c>
      <c r="D157" s="6" t="s">
        <v>2030</v>
      </c>
      <c r="E157" s="6" t="s">
        <v>2031</v>
      </c>
      <c r="F157" s="6" t="s">
        <v>2032</v>
      </c>
      <c r="G157" s="6" t="s">
        <v>377</v>
      </c>
      <c r="H157" s="7" t="s">
        <v>2033</v>
      </c>
      <c r="I157" s="6" t="s">
        <v>2034</v>
      </c>
      <c r="J157" s="6" t="s">
        <v>2035</v>
      </c>
      <c r="K157" s="6" t="s">
        <v>46</v>
      </c>
      <c r="L157" s="7" t="s">
        <v>2036</v>
      </c>
      <c r="M157" s="5">
        <v>45808.0</v>
      </c>
      <c r="N157" s="6" t="s">
        <v>48</v>
      </c>
      <c r="O157" s="6" t="s">
        <v>2037</v>
      </c>
      <c r="P157" s="6" t="s">
        <v>48</v>
      </c>
      <c r="Q157" s="6" t="s">
        <v>2038</v>
      </c>
      <c r="R157" s="6" t="s">
        <v>2039</v>
      </c>
      <c r="S157" s="6" t="s">
        <v>2040</v>
      </c>
      <c r="T157" s="6" t="s">
        <v>599</v>
      </c>
      <c r="U157" s="5">
        <v>40982.0</v>
      </c>
      <c r="V157" s="6" t="s">
        <v>54</v>
      </c>
      <c r="W157" s="6" t="s">
        <v>77</v>
      </c>
      <c r="X157" s="6" t="s">
        <v>102</v>
      </c>
      <c r="Y157" s="6" t="s">
        <v>160</v>
      </c>
      <c r="Z157" s="6" t="s">
        <v>2041</v>
      </c>
      <c r="AA157" s="6" t="s">
        <v>324</v>
      </c>
      <c r="AB157" s="6">
        <v>23.0</v>
      </c>
      <c r="AD157" s="7" t="s">
        <v>2036</v>
      </c>
      <c r="AE157" s="7" t="s">
        <v>2036</v>
      </c>
      <c r="AF157" s="6" t="s">
        <v>2042</v>
      </c>
      <c r="AG157" s="6" t="s">
        <v>2043</v>
      </c>
      <c r="AH157" s="8" t="str">
        <f t="shared" ref="AH157:AH158" si="28">HYPERLINK("https://drive.google.com/file/d/1waM9CKF2ANcoL9ycRqJ5BF5pqX7vUM4_/view?usp=drivesdk", "https://drive.google.com/file/d/1waM9CKF2ANcoL9ycRqJ5BF5pqX7vUM4_/view?usp=drivesdk")</f>
        <v>https://drive.google.com/file/d/1waM9CKF2ANcoL9ycRqJ5BF5pqX7vUM4_/view?usp=drivesdk</v>
      </c>
      <c r="AJ157" s="6" t="s">
        <v>2044</v>
      </c>
      <c r="AK157" s="6" t="s">
        <v>61</v>
      </c>
      <c r="AL157" s="16"/>
    </row>
    <row r="158" ht="22.5" customHeight="1">
      <c r="A158" s="4">
        <v>45846.78490113426</v>
      </c>
      <c r="B158" s="5">
        <v>44409.0</v>
      </c>
      <c r="C158" s="6" t="s">
        <v>2029</v>
      </c>
      <c r="D158" s="6" t="s">
        <v>2030</v>
      </c>
      <c r="E158" s="6" t="s">
        <v>2031</v>
      </c>
      <c r="F158" s="6" t="s">
        <v>2032</v>
      </c>
      <c r="G158" s="6" t="s">
        <v>377</v>
      </c>
      <c r="H158" s="7" t="s">
        <v>2033</v>
      </c>
      <c r="I158" s="6" t="s">
        <v>2034</v>
      </c>
      <c r="J158" s="6" t="s">
        <v>2035</v>
      </c>
      <c r="K158" s="6" t="s">
        <v>46</v>
      </c>
      <c r="L158" s="7" t="s">
        <v>2036</v>
      </c>
      <c r="M158" s="5">
        <v>45808.0</v>
      </c>
      <c r="N158" s="6" t="s">
        <v>71</v>
      </c>
      <c r="O158" s="6" t="s">
        <v>2037</v>
      </c>
      <c r="P158" s="6" t="s">
        <v>48</v>
      </c>
      <c r="Q158" s="6" t="s">
        <v>2038</v>
      </c>
      <c r="R158" s="6" t="s">
        <v>2039</v>
      </c>
      <c r="S158" s="6" t="s">
        <v>2040</v>
      </c>
      <c r="T158" s="6" t="s">
        <v>599</v>
      </c>
      <c r="U158" s="5">
        <v>40982.0</v>
      </c>
      <c r="V158" s="6" t="s">
        <v>54</v>
      </c>
      <c r="W158" s="6" t="s">
        <v>77</v>
      </c>
      <c r="X158" s="6" t="s">
        <v>102</v>
      </c>
      <c r="Y158" s="6" t="s">
        <v>160</v>
      </c>
      <c r="Z158" s="6" t="s">
        <v>2041</v>
      </c>
      <c r="AA158" s="6" t="s">
        <v>324</v>
      </c>
      <c r="AB158" s="6">
        <v>23.0</v>
      </c>
      <c r="AD158" s="7" t="s">
        <v>2036</v>
      </c>
      <c r="AE158" s="7" t="s">
        <v>2036</v>
      </c>
      <c r="AF158" s="6" t="s">
        <v>2042</v>
      </c>
      <c r="AG158" s="6" t="s">
        <v>2043</v>
      </c>
      <c r="AH158" s="8" t="str">
        <f t="shared" si="28"/>
        <v>https://drive.google.com/file/d/1waM9CKF2ANcoL9ycRqJ5BF5pqX7vUM4_/view?usp=drivesdk</v>
      </c>
      <c r="AJ158" s="6" t="s">
        <v>1084</v>
      </c>
      <c r="AK158" s="6" t="s">
        <v>61</v>
      </c>
      <c r="AL158" s="16"/>
    </row>
    <row r="159" ht="22.5" customHeight="1">
      <c r="A159" s="4">
        <v>45846.7942144213</v>
      </c>
      <c r="B159" s="5">
        <v>45835.0</v>
      </c>
      <c r="C159" s="6" t="s">
        <v>2045</v>
      </c>
      <c r="D159" s="6" t="s">
        <v>2046</v>
      </c>
      <c r="E159" s="6" t="s">
        <v>2047</v>
      </c>
      <c r="F159" s="6" t="s">
        <v>2048</v>
      </c>
      <c r="G159" s="6" t="s">
        <v>679</v>
      </c>
      <c r="H159" s="7" t="s">
        <v>2049</v>
      </c>
      <c r="I159" s="6" t="s">
        <v>2050</v>
      </c>
      <c r="J159" s="6" t="s">
        <v>2051</v>
      </c>
      <c r="K159" s="6" t="s">
        <v>46</v>
      </c>
      <c r="L159" s="7" t="s">
        <v>2049</v>
      </c>
      <c r="M159" s="5">
        <v>45808.0</v>
      </c>
      <c r="N159" s="6" t="s">
        <v>48</v>
      </c>
      <c r="O159" s="6" t="s">
        <v>2052</v>
      </c>
      <c r="P159" s="6" t="s">
        <v>48</v>
      </c>
      <c r="Q159" s="6">
        <v>2.410629568E9</v>
      </c>
      <c r="R159" s="6" t="s">
        <v>2053</v>
      </c>
      <c r="S159" s="6" t="s">
        <v>2054</v>
      </c>
      <c r="T159" s="6" t="s">
        <v>931</v>
      </c>
      <c r="U159" s="5">
        <v>37986.0</v>
      </c>
      <c r="V159" s="6" t="s">
        <v>54</v>
      </c>
      <c r="W159" s="6" t="s">
        <v>77</v>
      </c>
      <c r="X159" s="6" t="s">
        <v>102</v>
      </c>
      <c r="Y159" s="6" t="s">
        <v>123</v>
      </c>
      <c r="Z159" s="6" t="s">
        <v>2055</v>
      </c>
      <c r="AA159" s="6" t="s">
        <v>1176</v>
      </c>
      <c r="AB159" s="6" t="s">
        <v>2056</v>
      </c>
      <c r="AC159" s="6" t="s">
        <v>2057</v>
      </c>
      <c r="AD159" s="7" t="s">
        <v>2058</v>
      </c>
      <c r="AE159" s="7" t="s">
        <v>2058</v>
      </c>
      <c r="AF159" s="6" t="s">
        <v>2059</v>
      </c>
      <c r="AG159" s="6" t="s">
        <v>2060</v>
      </c>
      <c r="AH159" s="29" t="str">
        <f>HYPERLINK("https://drive.google.com/file/d/1AKeXHzwmpDAgKwHQ7uUdJM4-92Aw9_tq/view?usp=drivesdk", "https://drive.google.com/file/d/1AKeXHzwmpDAgKwHQ7uUdJM4-92Aw9_tq/view?usp=drivesdk")</f>
        <v>https://drive.google.com/file/d/1AKeXHzwmpDAgKwHQ7uUdJM4-92Aw9_tq/view?usp=drivesdk</v>
      </c>
      <c r="AK159" s="6" t="s">
        <v>61</v>
      </c>
      <c r="AL159" s="13"/>
    </row>
    <row r="160" ht="22.5" customHeight="1">
      <c r="A160" s="4">
        <v>45846.80213251157</v>
      </c>
      <c r="B160" s="5">
        <v>43133.0</v>
      </c>
      <c r="C160" s="6" t="s">
        <v>2061</v>
      </c>
      <c r="D160" s="6" t="s">
        <v>2062</v>
      </c>
      <c r="E160" s="6" t="s">
        <v>2063</v>
      </c>
      <c r="F160" s="6" t="s">
        <v>2064</v>
      </c>
      <c r="G160" s="6" t="s">
        <v>42</v>
      </c>
      <c r="H160" s="7" t="s">
        <v>2065</v>
      </c>
      <c r="I160" s="6" t="s">
        <v>2066</v>
      </c>
      <c r="J160" s="6" t="s">
        <v>2067</v>
      </c>
      <c r="K160" s="6" t="s">
        <v>46</v>
      </c>
      <c r="L160" s="7" t="s">
        <v>2065</v>
      </c>
      <c r="M160" s="5">
        <v>45808.0</v>
      </c>
      <c r="N160" s="6" t="s">
        <v>48</v>
      </c>
      <c r="O160" s="6" t="s">
        <v>2068</v>
      </c>
      <c r="P160" s="6" t="s">
        <v>48</v>
      </c>
      <c r="R160" s="6" t="s">
        <v>2069</v>
      </c>
      <c r="S160" s="6" t="s">
        <v>2070</v>
      </c>
      <c r="T160" s="6" t="s">
        <v>180</v>
      </c>
      <c r="U160" s="5">
        <v>35743.0</v>
      </c>
      <c r="V160" s="6" t="s">
        <v>54</v>
      </c>
      <c r="W160" s="6" t="s">
        <v>77</v>
      </c>
      <c r="X160" s="6" t="s">
        <v>102</v>
      </c>
      <c r="Y160" s="6" t="s">
        <v>160</v>
      </c>
      <c r="Z160" s="6" t="s">
        <v>2071</v>
      </c>
      <c r="AA160" s="6" t="s">
        <v>2072</v>
      </c>
      <c r="AB160" s="6">
        <v>12.0</v>
      </c>
      <c r="AC160" s="6" t="s">
        <v>2073</v>
      </c>
      <c r="AD160" s="7" t="s">
        <v>2074</v>
      </c>
      <c r="AE160" s="7" t="s">
        <v>2075</v>
      </c>
      <c r="AF160" s="6" t="s">
        <v>2076</v>
      </c>
      <c r="AG160" s="6" t="s">
        <v>2077</v>
      </c>
      <c r="AH160" s="8" t="str">
        <f>HYPERLINK("https://drive.google.com/file/d/19Byz7UFr2WFU001jz-4MrNg_7jFmMh4x/view?usp=drivesdk", "https://drive.google.com/file/d/19Byz7UFr2WFU001jz-4MrNg_7jFmMh4x/view?usp=drivesdk")</f>
        <v>https://drive.google.com/file/d/19Byz7UFr2WFU001jz-4MrNg_7jFmMh4x/view?usp=drivesdk</v>
      </c>
      <c r="AJ160" s="6" t="s">
        <v>2078</v>
      </c>
      <c r="AK160" s="6" t="s">
        <v>61</v>
      </c>
      <c r="AL160" s="16"/>
    </row>
    <row r="161" ht="22.5" customHeight="1">
      <c r="A161" s="4">
        <v>45846.810182546295</v>
      </c>
      <c r="B161" s="5">
        <v>42919.0</v>
      </c>
      <c r="C161" s="6" t="s">
        <v>2079</v>
      </c>
      <c r="D161" s="6" t="s">
        <v>2080</v>
      </c>
      <c r="E161" s="6" t="s">
        <v>1987</v>
      </c>
      <c r="F161" s="6" t="s">
        <v>2081</v>
      </c>
      <c r="G161" s="6" t="s">
        <v>66</v>
      </c>
      <c r="H161" s="7" t="s">
        <v>1989</v>
      </c>
      <c r="I161" s="6" t="s">
        <v>1990</v>
      </c>
      <c r="J161" s="6" t="s">
        <v>2082</v>
      </c>
      <c r="K161" s="6" t="s">
        <v>46</v>
      </c>
      <c r="L161" s="6">
        <v>1.799313488E9</v>
      </c>
      <c r="M161" s="5">
        <v>45808.0</v>
      </c>
      <c r="N161" s="6" t="s">
        <v>48</v>
      </c>
      <c r="O161" s="6" t="s">
        <v>2083</v>
      </c>
      <c r="P161" s="6" t="s">
        <v>48</v>
      </c>
      <c r="Q161" s="6" t="s">
        <v>2084</v>
      </c>
      <c r="R161" s="6" t="s">
        <v>2085</v>
      </c>
      <c r="S161" s="6" t="s">
        <v>1996</v>
      </c>
      <c r="T161" s="6" t="s">
        <v>1049</v>
      </c>
      <c r="U161" s="5">
        <v>41269.0</v>
      </c>
      <c r="V161" s="6" t="s">
        <v>54</v>
      </c>
      <c r="W161" s="6" t="s">
        <v>77</v>
      </c>
      <c r="X161" s="6" t="s">
        <v>102</v>
      </c>
      <c r="Y161" s="6" t="s">
        <v>123</v>
      </c>
      <c r="Z161" s="6" t="s">
        <v>2086</v>
      </c>
      <c r="AA161" s="6" t="s">
        <v>423</v>
      </c>
      <c r="AB161" s="6">
        <v>37.0</v>
      </c>
      <c r="AD161" s="7" t="s">
        <v>1998</v>
      </c>
      <c r="AE161" s="7" t="s">
        <v>1992</v>
      </c>
      <c r="AG161" s="6" t="s">
        <v>2087</v>
      </c>
      <c r="AH161" s="29" t="str">
        <f>HYPERLINK("https://drive.google.com/file/d/1alvHWQne77q33lI3qnURwqrJ8_uxq96v/view?usp=drivesdk", "https://drive.google.com/file/d/1alvHWQne77q33lI3qnURwqrJ8_uxq96v/view?usp=drivesdk")</f>
        <v>https://drive.google.com/file/d/1alvHWQne77q33lI3qnURwqrJ8_uxq96v/view?usp=drivesdk</v>
      </c>
      <c r="AK161" s="6" t="s">
        <v>61</v>
      </c>
      <c r="AL161" s="13"/>
    </row>
    <row r="162" ht="22.5" customHeight="1">
      <c r="A162" s="4">
        <v>45846.824406377316</v>
      </c>
      <c r="B162" s="5">
        <v>44844.0</v>
      </c>
      <c r="C162" s="6" t="s">
        <v>2088</v>
      </c>
      <c r="D162" s="6" t="s">
        <v>2089</v>
      </c>
      <c r="E162" s="6" t="s">
        <v>2090</v>
      </c>
      <c r="F162" s="6" t="s">
        <v>2091</v>
      </c>
      <c r="G162" s="6" t="s">
        <v>150</v>
      </c>
      <c r="H162" s="7" t="s">
        <v>2092</v>
      </c>
      <c r="I162" s="6" t="s">
        <v>2093</v>
      </c>
      <c r="J162" s="6" t="s">
        <v>2094</v>
      </c>
      <c r="K162" s="6" t="s">
        <v>46</v>
      </c>
      <c r="L162" s="7" t="s">
        <v>2095</v>
      </c>
      <c r="M162" s="5">
        <v>45808.0</v>
      </c>
      <c r="N162" s="6" t="s">
        <v>48</v>
      </c>
      <c r="O162" s="6" t="s">
        <v>2096</v>
      </c>
      <c r="P162" s="6" t="s">
        <v>48</v>
      </c>
      <c r="Q162" s="6">
        <v>2.01426925370588E16</v>
      </c>
      <c r="R162" s="6" t="s">
        <v>2097</v>
      </c>
      <c r="S162" s="6" t="s">
        <v>2098</v>
      </c>
      <c r="T162" s="6" t="s">
        <v>217</v>
      </c>
      <c r="U162" s="5">
        <v>41790.0</v>
      </c>
      <c r="V162" s="6" t="s">
        <v>54</v>
      </c>
      <c r="W162" s="6" t="s">
        <v>77</v>
      </c>
      <c r="X162" s="6" t="s">
        <v>102</v>
      </c>
      <c r="Y162" s="6" t="s">
        <v>78</v>
      </c>
      <c r="Z162" s="6" t="s">
        <v>2099</v>
      </c>
      <c r="AA162" s="6" t="s">
        <v>2100</v>
      </c>
      <c r="AB162" s="6">
        <v>2.0</v>
      </c>
      <c r="AD162" s="7" t="s">
        <v>2095</v>
      </c>
      <c r="AE162" s="7" t="s">
        <v>2095</v>
      </c>
      <c r="AF162" s="6" t="s">
        <v>2101</v>
      </c>
      <c r="AH162" s="29" t="str">
        <f t="shared" ref="AH162:AH163" si="29">HYPERLINK("https://drive.google.com/file/d/15QrXvygNAq34GyZ2IFUQxOvct-3AcuCj/view?usp=drivesdk", "https://drive.google.com/file/d/15QrXvygNAq34GyZ2IFUQxOvct-3AcuCj/view?usp=drivesdk")</f>
        <v>https://drive.google.com/file/d/15QrXvygNAq34GyZ2IFUQxOvct-3AcuCj/view?usp=drivesdk</v>
      </c>
      <c r="AJ162" s="6" t="s">
        <v>2044</v>
      </c>
      <c r="AK162" s="6" t="s">
        <v>61</v>
      </c>
      <c r="AL162" s="13"/>
    </row>
    <row r="163" ht="22.5" customHeight="1">
      <c r="A163" s="4">
        <v>45846.82994884259</v>
      </c>
      <c r="B163" s="5">
        <v>44844.0</v>
      </c>
      <c r="C163" s="6" t="s">
        <v>2088</v>
      </c>
      <c r="D163" s="6" t="s">
        <v>2089</v>
      </c>
      <c r="E163" s="6" t="s">
        <v>2090</v>
      </c>
      <c r="F163" s="6" t="s">
        <v>2091</v>
      </c>
      <c r="G163" s="6" t="s">
        <v>150</v>
      </c>
      <c r="H163" s="7" t="s">
        <v>2092</v>
      </c>
      <c r="I163" s="6" t="s">
        <v>2093</v>
      </c>
      <c r="J163" s="6" t="s">
        <v>2094</v>
      </c>
      <c r="K163" s="6" t="s">
        <v>46</v>
      </c>
      <c r="L163" s="7" t="s">
        <v>2095</v>
      </c>
      <c r="M163" s="5">
        <v>45808.0</v>
      </c>
      <c r="N163" s="6" t="s">
        <v>71</v>
      </c>
      <c r="O163" s="6" t="s">
        <v>2096</v>
      </c>
      <c r="P163" s="6" t="s">
        <v>48</v>
      </c>
      <c r="Q163" s="6">
        <v>2.01426925370588E16</v>
      </c>
      <c r="R163" s="6" t="s">
        <v>2097</v>
      </c>
      <c r="S163" s="6" t="s">
        <v>2098</v>
      </c>
      <c r="T163" s="6" t="s">
        <v>217</v>
      </c>
      <c r="U163" s="5">
        <v>41864.0</v>
      </c>
      <c r="V163" s="6" t="s">
        <v>54</v>
      </c>
      <c r="W163" s="6" t="s">
        <v>77</v>
      </c>
      <c r="X163" s="6" t="s">
        <v>102</v>
      </c>
      <c r="Y163" s="6" t="s">
        <v>78</v>
      </c>
      <c r="Z163" s="6" t="s">
        <v>2099</v>
      </c>
      <c r="AA163" s="6" t="s">
        <v>2100</v>
      </c>
      <c r="AB163" s="7" t="s">
        <v>306</v>
      </c>
      <c r="AD163" s="7" t="s">
        <v>2095</v>
      </c>
      <c r="AE163" s="7" t="s">
        <v>2095</v>
      </c>
      <c r="AF163" s="6" t="s">
        <v>2101</v>
      </c>
      <c r="AH163" s="29" t="str">
        <f t="shared" si="29"/>
        <v>https://drive.google.com/file/d/15QrXvygNAq34GyZ2IFUQxOvct-3AcuCj/view?usp=drivesdk</v>
      </c>
      <c r="AJ163" s="6" t="s">
        <v>2028</v>
      </c>
      <c r="AK163" s="6" t="s">
        <v>61</v>
      </c>
      <c r="AL163" s="13"/>
    </row>
    <row r="164" ht="22.5" customHeight="1">
      <c r="A164" s="4">
        <v>45846.83938600695</v>
      </c>
      <c r="B164" s="5">
        <v>45835.0</v>
      </c>
      <c r="C164" s="6" t="s">
        <v>2102</v>
      </c>
      <c r="D164" s="6" t="s">
        <v>2103</v>
      </c>
      <c r="E164" s="6" t="s">
        <v>2104</v>
      </c>
      <c r="F164" s="6" t="s">
        <v>2105</v>
      </c>
      <c r="G164" s="6" t="s">
        <v>42</v>
      </c>
      <c r="H164" s="7" t="s">
        <v>2106</v>
      </c>
      <c r="I164" s="6" t="s">
        <v>2107</v>
      </c>
      <c r="J164" s="6" t="s">
        <v>2108</v>
      </c>
      <c r="K164" s="6" t="s">
        <v>46</v>
      </c>
      <c r="L164" s="7" t="s">
        <v>2109</v>
      </c>
      <c r="M164" s="5">
        <v>45808.0</v>
      </c>
      <c r="N164" s="6" t="s">
        <v>48</v>
      </c>
      <c r="O164" s="6" t="s">
        <v>2110</v>
      </c>
      <c r="P164" s="6" t="s">
        <v>48</v>
      </c>
      <c r="Q164" s="6" t="s">
        <v>2111</v>
      </c>
      <c r="R164" s="6" t="s">
        <v>2112</v>
      </c>
      <c r="S164" s="6" t="s">
        <v>2113</v>
      </c>
      <c r="T164" s="6" t="s">
        <v>180</v>
      </c>
      <c r="U164" s="5">
        <v>43900.0</v>
      </c>
      <c r="V164" s="6" t="s">
        <v>54</v>
      </c>
      <c r="W164" s="6" t="s">
        <v>55</v>
      </c>
      <c r="X164" s="6" t="s">
        <v>102</v>
      </c>
      <c r="Y164" s="6" t="s">
        <v>160</v>
      </c>
      <c r="Z164" s="6" t="s">
        <v>2114</v>
      </c>
      <c r="AA164" s="6" t="s">
        <v>305</v>
      </c>
      <c r="AD164" s="7" t="s">
        <v>2115</v>
      </c>
      <c r="AE164" s="7" t="s">
        <v>2109</v>
      </c>
      <c r="AF164" s="6" t="s">
        <v>2116</v>
      </c>
      <c r="AH164" s="29" t="str">
        <f>HYPERLINK("https://drive.google.com/file/d/17NtzPE9N3_e0e9_JFq-T3zostcJJx_NR/view?usp=drivesdk", "https://drive.google.com/file/d/17NtzPE9N3_e0e9_JFq-T3zostcJJx_NR/view?usp=drivesdk")</f>
        <v>https://drive.google.com/file/d/17NtzPE9N3_e0e9_JFq-T3zostcJJx_NR/view?usp=drivesdk</v>
      </c>
      <c r="AJ164" s="6" t="s">
        <v>585</v>
      </c>
      <c r="AK164" s="6" t="s">
        <v>61</v>
      </c>
      <c r="AL164" s="13"/>
    </row>
    <row r="165" ht="22.5" customHeight="1">
      <c r="A165" s="4">
        <v>45846.84641048611</v>
      </c>
      <c r="B165" s="5">
        <v>45047.0</v>
      </c>
      <c r="C165" s="6" t="s">
        <v>2117</v>
      </c>
      <c r="D165" s="6" t="s">
        <v>2118</v>
      </c>
      <c r="E165" s="6" t="s">
        <v>2119</v>
      </c>
      <c r="F165" s="6" t="s">
        <v>2120</v>
      </c>
      <c r="G165" s="6" t="s">
        <v>1040</v>
      </c>
      <c r="H165" s="7" t="s">
        <v>2121</v>
      </c>
      <c r="I165" s="6" t="s">
        <v>2122</v>
      </c>
      <c r="J165" s="6" t="s">
        <v>2123</v>
      </c>
      <c r="K165" s="6" t="s">
        <v>46</v>
      </c>
      <c r="L165" s="7" t="s">
        <v>2124</v>
      </c>
      <c r="M165" s="5">
        <v>45808.0</v>
      </c>
      <c r="N165" s="6" t="s">
        <v>48</v>
      </c>
      <c r="O165" s="6" t="s">
        <v>2125</v>
      </c>
      <c r="P165" s="6" t="s">
        <v>48</v>
      </c>
      <c r="R165" s="6" t="s">
        <v>2126</v>
      </c>
      <c r="S165" s="6" t="s">
        <v>2127</v>
      </c>
      <c r="T165" s="6" t="s">
        <v>599</v>
      </c>
      <c r="U165" s="5">
        <v>44441.0</v>
      </c>
      <c r="V165" s="6" t="s">
        <v>54</v>
      </c>
      <c r="W165" s="6" t="s">
        <v>77</v>
      </c>
      <c r="X165" s="6" t="s">
        <v>102</v>
      </c>
      <c r="Y165" s="6" t="s">
        <v>78</v>
      </c>
      <c r="Z165" s="6" t="s">
        <v>2128</v>
      </c>
      <c r="AD165" s="7" t="s">
        <v>2124</v>
      </c>
      <c r="AE165" s="7" t="s">
        <v>2124</v>
      </c>
      <c r="AH165" s="29" t="str">
        <f>HYPERLINK("https://drive.google.com/file/d/1vSSpCwDWM1ZtfswUI4zGTRx0E5CsvDJF/view?usp=drivesdk", "https://drive.google.com/file/d/1vSSpCwDWM1ZtfswUI4zGTRx0E5CsvDJF/view?usp=drivesdk")</f>
        <v>https://drive.google.com/file/d/1vSSpCwDWM1ZtfswUI4zGTRx0E5CsvDJF/view?usp=drivesdk</v>
      </c>
      <c r="AJ165" s="6" t="s">
        <v>2129</v>
      </c>
      <c r="AK165" s="6" t="s">
        <v>61</v>
      </c>
      <c r="AL165" s="13"/>
    </row>
    <row r="166" ht="22.5" customHeight="1">
      <c r="A166" s="4">
        <v>45846.85851857639</v>
      </c>
      <c r="B166" s="5">
        <v>45383.0</v>
      </c>
      <c r="C166" s="6" t="s">
        <v>2130</v>
      </c>
      <c r="D166" s="6" t="s">
        <v>2131</v>
      </c>
      <c r="E166" s="6" t="s">
        <v>2132</v>
      </c>
      <c r="F166" s="6" t="s">
        <v>2133</v>
      </c>
      <c r="G166" s="6" t="s">
        <v>2134</v>
      </c>
      <c r="H166" s="7" t="s">
        <v>2135</v>
      </c>
      <c r="I166" s="6" t="s">
        <v>2136</v>
      </c>
      <c r="J166" s="6" t="s">
        <v>2137</v>
      </c>
      <c r="K166" s="6" t="s">
        <v>171</v>
      </c>
      <c r="L166" s="7" t="s">
        <v>2138</v>
      </c>
      <c r="M166" s="5">
        <v>45808.0</v>
      </c>
      <c r="N166" s="6" t="s">
        <v>504</v>
      </c>
      <c r="O166" s="6" t="s">
        <v>2139</v>
      </c>
      <c r="P166" s="6" t="s">
        <v>504</v>
      </c>
      <c r="Q166" s="6" t="s">
        <v>2140</v>
      </c>
      <c r="R166" s="6" t="s">
        <v>2141</v>
      </c>
      <c r="S166" s="6" t="s">
        <v>2142</v>
      </c>
      <c r="T166" s="6" t="s">
        <v>217</v>
      </c>
      <c r="U166" s="5">
        <v>43369.0</v>
      </c>
      <c r="V166" s="6" t="s">
        <v>54</v>
      </c>
      <c r="W166" s="6" t="s">
        <v>55</v>
      </c>
      <c r="X166" s="6" t="s">
        <v>102</v>
      </c>
      <c r="Y166" s="6" t="s">
        <v>2143</v>
      </c>
      <c r="Z166" s="6" t="s">
        <v>2144</v>
      </c>
      <c r="AD166" s="7" t="s">
        <v>2135</v>
      </c>
      <c r="AE166" s="7" t="s">
        <v>2138</v>
      </c>
      <c r="AG166" s="6" t="s">
        <v>2145</v>
      </c>
      <c r="AH166" s="29" t="str">
        <f>HYPERLINK("https://drive.google.com/file/d/1u87I7KbUf-6MQJWyUA7Z9DyRkWTAbkt7/view?usp=drivesdk", "https://drive.google.com/file/d/1u87I7KbUf-6MQJWyUA7Z9DyRkWTAbkt7/view?usp=drivesdk")</f>
        <v>https://drive.google.com/file/d/1u87I7KbUf-6MQJWyUA7Z9DyRkWTAbkt7/view?usp=drivesdk</v>
      </c>
      <c r="AJ166" s="6" t="s">
        <v>2146</v>
      </c>
      <c r="AK166" s="6" t="s">
        <v>2147</v>
      </c>
      <c r="AL166" s="13"/>
    </row>
    <row r="167" ht="22.5" customHeight="1">
      <c r="A167" s="4">
        <v>45846.862645960646</v>
      </c>
      <c r="B167" s="5">
        <v>45535.0</v>
      </c>
      <c r="C167" s="6" t="s">
        <v>2148</v>
      </c>
      <c r="D167" s="6" t="s">
        <v>2149</v>
      </c>
      <c r="E167" s="6" t="s">
        <v>2150</v>
      </c>
      <c r="F167" s="6" t="s">
        <v>2151</v>
      </c>
      <c r="G167" s="6" t="s">
        <v>42</v>
      </c>
      <c r="H167" s="7" t="s">
        <v>2152</v>
      </c>
      <c r="I167" s="6" t="s">
        <v>2153</v>
      </c>
      <c r="J167" s="6" t="s">
        <v>2154</v>
      </c>
      <c r="K167" s="6" t="s">
        <v>46</v>
      </c>
      <c r="L167" s="7" t="s">
        <v>2155</v>
      </c>
      <c r="M167" s="5">
        <v>45808.0</v>
      </c>
      <c r="N167" s="6" t="s">
        <v>48</v>
      </c>
      <c r="O167" s="6" t="s">
        <v>2156</v>
      </c>
      <c r="P167" s="6" t="s">
        <v>48</v>
      </c>
      <c r="Q167" s="6" t="s">
        <v>2157</v>
      </c>
      <c r="R167" s="6" t="s">
        <v>2158</v>
      </c>
      <c r="S167" s="6" t="s">
        <v>2159</v>
      </c>
      <c r="T167" s="6" t="s">
        <v>2160</v>
      </c>
      <c r="U167" s="5">
        <v>44001.0</v>
      </c>
      <c r="V167" s="6" t="s">
        <v>54</v>
      </c>
      <c r="W167" s="6" t="s">
        <v>55</v>
      </c>
      <c r="X167" s="6" t="s">
        <v>102</v>
      </c>
      <c r="Y167" s="6" t="s">
        <v>123</v>
      </c>
      <c r="Z167" s="6" t="s">
        <v>2161</v>
      </c>
      <c r="AA167" s="6" t="s">
        <v>947</v>
      </c>
      <c r="AB167" s="6">
        <v>60.0</v>
      </c>
      <c r="AD167" s="7" t="s">
        <v>2155</v>
      </c>
      <c r="AE167" s="7" t="s">
        <v>2155</v>
      </c>
      <c r="AH167" s="8" t="str">
        <f>HYPERLINK("https://drive.google.com/file/d/1_rkG8tbfgkmFfHvkNzdungkCO9u6QfZI/view?usp=drivesdk", "https://drive.google.com/file/d/1_rkG8tbfgkmFfHvkNzdungkCO9u6QfZI/view?usp=drivesdk")</f>
        <v>https://drive.google.com/file/d/1_rkG8tbfgkmFfHvkNzdungkCO9u6QfZI/view?usp=drivesdk</v>
      </c>
      <c r="AK167" s="6" t="s">
        <v>61</v>
      </c>
      <c r="AL167" s="16"/>
    </row>
    <row r="168" ht="22.5" customHeight="1">
      <c r="A168" s="4">
        <v>45846.87899892361</v>
      </c>
      <c r="B168" s="5">
        <v>43528.0</v>
      </c>
      <c r="C168" s="6" t="s">
        <v>2162</v>
      </c>
      <c r="D168" s="6" t="s">
        <v>2163</v>
      </c>
      <c r="E168" s="6" t="s">
        <v>2164</v>
      </c>
      <c r="F168" s="6" t="s">
        <v>2151</v>
      </c>
      <c r="G168" s="6" t="s">
        <v>42</v>
      </c>
      <c r="H168" s="7" t="s">
        <v>2152</v>
      </c>
      <c r="I168" s="6" t="s">
        <v>2165</v>
      </c>
      <c r="J168" s="6" t="s">
        <v>2166</v>
      </c>
      <c r="K168" s="6" t="s">
        <v>46</v>
      </c>
      <c r="L168" s="7" t="s">
        <v>2155</v>
      </c>
      <c r="M168" s="5">
        <v>45808.0</v>
      </c>
      <c r="N168" s="6" t="s">
        <v>48</v>
      </c>
      <c r="O168" s="6" t="s">
        <v>2167</v>
      </c>
      <c r="P168" s="6" t="s">
        <v>48</v>
      </c>
      <c r="Q168" s="6" t="s">
        <v>2168</v>
      </c>
      <c r="R168" s="6" t="s">
        <v>2158</v>
      </c>
      <c r="S168" s="6" t="s">
        <v>2159</v>
      </c>
      <c r="T168" s="6" t="s">
        <v>2160</v>
      </c>
      <c r="U168" s="5">
        <v>43528.0</v>
      </c>
      <c r="V168" s="6" t="s">
        <v>54</v>
      </c>
      <c r="W168" s="6" t="s">
        <v>55</v>
      </c>
      <c r="X168" s="6" t="s">
        <v>102</v>
      </c>
      <c r="Y168" s="6" t="s">
        <v>123</v>
      </c>
      <c r="Z168" s="6" t="s">
        <v>2161</v>
      </c>
      <c r="AA168" s="6" t="s">
        <v>104</v>
      </c>
      <c r="AB168" s="6">
        <v>27.0</v>
      </c>
      <c r="AD168" s="7" t="s">
        <v>2155</v>
      </c>
      <c r="AE168" s="7" t="s">
        <v>2155</v>
      </c>
      <c r="AH168" s="8" t="str">
        <f>HYPERLINK("https://drive.google.com/file/d/1K_nisL28Y1ZFN3zoWuMWvID_UP5DOiV0/view?usp=drivesdk", "https://drive.google.com/file/d/1K_nisL28Y1ZFN3zoWuMWvID_UP5DOiV0/view?usp=drivesdk")</f>
        <v>https://drive.google.com/file/d/1K_nisL28Y1ZFN3zoWuMWvID_UP5DOiV0/view?usp=drivesdk</v>
      </c>
      <c r="AK168" s="6" t="s">
        <v>1077</v>
      </c>
      <c r="AL168" s="16"/>
    </row>
    <row r="169" ht="22.5" customHeight="1">
      <c r="A169" s="4">
        <v>45846.88385233797</v>
      </c>
      <c r="B169" s="5">
        <v>45835.0</v>
      </c>
      <c r="C169" s="6" t="s">
        <v>2169</v>
      </c>
      <c r="D169" s="6" t="s">
        <v>2170</v>
      </c>
      <c r="E169" s="6" t="s">
        <v>2171</v>
      </c>
      <c r="F169" s="6" t="s">
        <v>2172</v>
      </c>
      <c r="G169" s="6" t="s">
        <v>332</v>
      </c>
      <c r="H169" s="7" t="s">
        <v>2173</v>
      </c>
      <c r="I169" s="6" t="s">
        <v>2174</v>
      </c>
      <c r="J169" s="6" t="s">
        <v>2175</v>
      </c>
      <c r="K169" s="6" t="s">
        <v>95</v>
      </c>
      <c r="L169" s="7" t="s">
        <v>2176</v>
      </c>
      <c r="M169" s="5">
        <v>45808.0</v>
      </c>
      <c r="N169" s="6" t="s">
        <v>48</v>
      </c>
      <c r="O169" s="6" t="s">
        <v>2177</v>
      </c>
      <c r="P169" s="6" t="s">
        <v>48</v>
      </c>
      <c r="Q169" s="6" t="s">
        <v>2178</v>
      </c>
      <c r="R169" s="6" t="s">
        <v>2179</v>
      </c>
      <c r="S169" s="6" t="s">
        <v>2180</v>
      </c>
      <c r="T169" s="6" t="s">
        <v>273</v>
      </c>
      <c r="U169" s="5">
        <v>41681.0</v>
      </c>
      <c r="V169" s="6" t="s">
        <v>54</v>
      </c>
      <c r="W169" s="6" t="s">
        <v>55</v>
      </c>
      <c r="X169" s="6" t="s">
        <v>102</v>
      </c>
      <c r="Y169" s="6" t="s">
        <v>160</v>
      </c>
      <c r="Z169" s="6" t="s">
        <v>2181</v>
      </c>
      <c r="AA169" s="6" t="s">
        <v>275</v>
      </c>
      <c r="AB169" s="6">
        <v>3.0</v>
      </c>
      <c r="AD169" s="7" t="s">
        <v>2173</v>
      </c>
      <c r="AE169" s="7" t="s">
        <v>2176</v>
      </c>
      <c r="AH169" s="11" t="str">
        <f>HYPERLINK("https://drive.google.com/file/d/1Fmi1Jue0Qj_P74IH4NZusXyCYCnW9d1g/view?usp=drivesdk", "https://drive.google.com/file/d/1Fmi1Jue0Qj_P74IH4NZusXyCYCnW9d1g/view?usp=drivesdk")</f>
        <v>https://drive.google.com/file/d/1Fmi1Jue0Qj_P74IH4NZusXyCYCnW9d1g/view?usp=drivesdk</v>
      </c>
      <c r="AK169" s="6" t="s">
        <v>2182</v>
      </c>
      <c r="AL169" s="13"/>
    </row>
    <row r="170" ht="22.5" customHeight="1">
      <c r="A170" s="4">
        <v>45846.88890258102</v>
      </c>
      <c r="B170" s="5">
        <v>43831.0</v>
      </c>
      <c r="C170" s="6" t="s">
        <v>2183</v>
      </c>
      <c r="D170" s="6" t="s">
        <v>2184</v>
      </c>
      <c r="E170" s="6" t="s">
        <v>2185</v>
      </c>
      <c r="F170" s="6" t="s">
        <v>2081</v>
      </c>
      <c r="G170" s="6" t="s">
        <v>66</v>
      </c>
      <c r="H170" s="7" t="s">
        <v>1989</v>
      </c>
      <c r="I170" s="6" t="s">
        <v>1990</v>
      </c>
      <c r="J170" s="6" t="s">
        <v>2082</v>
      </c>
      <c r="K170" s="6" t="s">
        <v>46</v>
      </c>
      <c r="L170" s="6">
        <v>1.799313488E9</v>
      </c>
      <c r="M170" s="5">
        <v>45808.0</v>
      </c>
      <c r="N170" s="6" t="s">
        <v>48</v>
      </c>
      <c r="O170" s="6" t="s">
        <v>2186</v>
      </c>
      <c r="P170" s="6" t="s">
        <v>48</v>
      </c>
      <c r="Q170" s="6" t="s">
        <v>2187</v>
      </c>
      <c r="R170" s="6" t="s">
        <v>2188</v>
      </c>
      <c r="S170" s="6" t="s">
        <v>2189</v>
      </c>
      <c r="T170" s="6" t="s">
        <v>1049</v>
      </c>
      <c r="U170" s="5">
        <v>42675.0</v>
      </c>
      <c r="V170" s="6" t="s">
        <v>54</v>
      </c>
      <c r="W170" s="6" t="s">
        <v>55</v>
      </c>
      <c r="X170" s="6" t="s">
        <v>102</v>
      </c>
      <c r="Y170" s="6" t="s">
        <v>160</v>
      </c>
      <c r="Z170" s="6" t="s">
        <v>2190</v>
      </c>
      <c r="AA170" s="6" t="s">
        <v>672</v>
      </c>
      <c r="AB170" s="6">
        <v>68.0</v>
      </c>
      <c r="AD170" s="7" t="s">
        <v>1998</v>
      </c>
      <c r="AE170" s="7" t="s">
        <v>1992</v>
      </c>
      <c r="AG170" s="6" t="s">
        <v>2087</v>
      </c>
      <c r="AH170" s="10" t="str">
        <f>HYPERLINK("https://drive.google.com/file/d/1TGf5PBazaVJwlIKWYf2KaKM2pnv8UHAG/view?usp=drivesdk", "https://drive.google.com/file/d/1TGf5PBazaVJwlIKWYf2KaKM2pnv8UHAG/view?usp=drivesdk")</f>
        <v>https://drive.google.com/file/d/1TGf5PBazaVJwlIKWYf2KaKM2pnv8UHAG/view?usp=drivesdk</v>
      </c>
      <c r="AK170" s="6" t="s">
        <v>61</v>
      </c>
      <c r="AL170" s="13"/>
    </row>
    <row r="171" ht="22.5" customHeight="1">
      <c r="A171" s="4">
        <v>45846.88951395833</v>
      </c>
      <c r="B171" s="5">
        <v>44531.0</v>
      </c>
      <c r="C171" s="6" t="s">
        <v>2191</v>
      </c>
      <c r="D171" s="6" t="s">
        <v>2192</v>
      </c>
      <c r="E171" s="6" t="s">
        <v>2193</v>
      </c>
      <c r="F171" s="6" t="s">
        <v>2120</v>
      </c>
      <c r="G171" s="6" t="s">
        <v>208</v>
      </c>
      <c r="H171" s="7" t="s">
        <v>2121</v>
      </c>
      <c r="I171" s="6" t="s">
        <v>2194</v>
      </c>
      <c r="J171" s="6" t="s">
        <v>2195</v>
      </c>
      <c r="K171" s="6" t="s">
        <v>95</v>
      </c>
      <c r="L171" s="7" t="s">
        <v>2124</v>
      </c>
      <c r="M171" s="5">
        <v>45808.0</v>
      </c>
      <c r="N171" s="6" t="s">
        <v>48</v>
      </c>
      <c r="O171" s="6" t="s">
        <v>2196</v>
      </c>
      <c r="P171" s="6" t="s">
        <v>48</v>
      </c>
      <c r="Q171" s="6" t="s">
        <v>2197</v>
      </c>
      <c r="R171" s="6" t="s">
        <v>2198</v>
      </c>
      <c r="S171" s="6" t="s">
        <v>2199</v>
      </c>
      <c r="T171" s="6" t="s">
        <v>599</v>
      </c>
      <c r="U171" s="5">
        <v>42942.0</v>
      </c>
      <c r="V171" s="6" t="s">
        <v>54</v>
      </c>
      <c r="W171" s="6" t="s">
        <v>77</v>
      </c>
      <c r="X171" s="6" t="s">
        <v>102</v>
      </c>
      <c r="Y171" s="6" t="s">
        <v>160</v>
      </c>
      <c r="Z171" s="6" t="s">
        <v>2011</v>
      </c>
      <c r="AA171" s="6" t="s">
        <v>820</v>
      </c>
      <c r="AB171" s="6">
        <v>5.0</v>
      </c>
      <c r="AD171" s="7" t="s">
        <v>2121</v>
      </c>
      <c r="AE171" s="7" t="s">
        <v>2124</v>
      </c>
      <c r="AH171" s="11" t="str">
        <f>HYPERLINK("https://drive.google.com/file/d/1ZU-ro4X5bVLGswQj9WGOyn2xnSXo_38-/view?usp=drivesdk", "https://drive.google.com/file/d/1ZU-ro4X5bVLGswQj9WGOyn2xnSXo_38-/view?usp=drivesdk")</f>
        <v>https://drive.google.com/file/d/1ZU-ro4X5bVLGswQj9WGOyn2xnSXo_38-/view?usp=drivesdk</v>
      </c>
      <c r="AK171" s="6" t="s">
        <v>2200</v>
      </c>
      <c r="AL171" s="13"/>
    </row>
    <row r="172" ht="22.5" customHeight="1">
      <c r="A172" s="4">
        <v>45846.89258076389</v>
      </c>
      <c r="B172" s="5">
        <v>45078.0</v>
      </c>
      <c r="C172" s="6" t="s">
        <v>2201</v>
      </c>
      <c r="D172" s="6" t="s">
        <v>2202</v>
      </c>
      <c r="E172" s="6" t="s">
        <v>2203</v>
      </c>
      <c r="F172" s="6" t="s">
        <v>2204</v>
      </c>
      <c r="G172" s="6" t="s">
        <v>42</v>
      </c>
      <c r="H172" s="7" t="s">
        <v>2205</v>
      </c>
      <c r="I172" s="6" t="s">
        <v>2206</v>
      </c>
      <c r="J172" s="6" t="s">
        <v>2207</v>
      </c>
      <c r="K172" s="6" t="s">
        <v>46</v>
      </c>
      <c r="L172" s="7" t="s">
        <v>2208</v>
      </c>
      <c r="M172" s="5">
        <v>45808.0</v>
      </c>
      <c r="N172" s="6" t="s">
        <v>504</v>
      </c>
      <c r="O172" s="6" t="s">
        <v>2209</v>
      </c>
      <c r="P172" s="6" t="s">
        <v>504</v>
      </c>
      <c r="Q172" s="6" t="s">
        <v>2210</v>
      </c>
      <c r="R172" s="6" t="s">
        <v>2211</v>
      </c>
      <c r="S172" s="6" t="s">
        <v>2212</v>
      </c>
      <c r="T172" s="6" t="s">
        <v>2213</v>
      </c>
      <c r="U172" s="5">
        <v>42186.0</v>
      </c>
      <c r="V172" s="6" t="s">
        <v>54</v>
      </c>
      <c r="W172" s="6" t="s">
        <v>55</v>
      </c>
      <c r="X172" s="6" t="s">
        <v>102</v>
      </c>
      <c r="Z172" s="6" t="s">
        <v>2214</v>
      </c>
      <c r="AA172" s="6" t="s">
        <v>370</v>
      </c>
      <c r="AB172" s="6">
        <v>28.0</v>
      </c>
      <c r="AC172" s="6" t="s">
        <v>2215</v>
      </c>
      <c r="AD172" s="7" t="s">
        <v>2205</v>
      </c>
      <c r="AE172" s="7" t="s">
        <v>2205</v>
      </c>
      <c r="AH172" s="10" t="str">
        <f>HYPERLINK("https://drive.google.com/file/d/1m-k_OwIXo-UZZ8tgLo6DCzu-fFqBYJGE/view?usp=drivesdk", "https://drive.google.com/file/d/1m-k_OwIXo-UZZ8tgLo6DCzu-fFqBYJGE/view?usp=drivesdk")</f>
        <v>https://drive.google.com/file/d/1m-k_OwIXo-UZZ8tgLo6DCzu-fFqBYJGE/view?usp=drivesdk</v>
      </c>
      <c r="AK172" s="6" t="s">
        <v>605</v>
      </c>
      <c r="AL172" s="13"/>
    </row>
    <row r="173" ht="22.5" customHeight="1">
      <c r="A173" s="4">
        <v>45846.89770644676</v>
      </c>
      <c r="B173" s="5">
        <v>44531.0</v>
      </c>
      <c r="C173" s="6" t="s">
        <v>2216</v>
      </c>
      <c r="D173" s="6" t="s">
        <v>2217</v>
      </c>
      <c r="E173" s="6" t="s">
        <v>2193</v>
      </c>
      <c r="F173" s="6" t="s">
        <v>2120</v>
      </c>
      <c r="G173" s="6" t="s">
        <v>208</v>
      </c>
      <c r="H173" s="7" t="s">
        <v>2121</v>
      </c>
      <c r="I173" s="6" t="s">
        <v>2194</v>
      </c>
      <c r="J173" s="6" t="s">
        <v>2195</v>
      </c>
      <c r="K173" s="6" t="s">
        <v>95</v>
      </c>
      <c r="L173" s="7" t="s">
        <v>2124</v>
      </c>
      <c r="M173" s="5">
        <v>45808.0</v>
      </c>
      <c r="N173" s="6" t="s">
        <v>48</v>
      </c>
      <c r="O173" s="6" t="s">
        <v>2218</v>
      </c>
      <c r="P173" s="6" t="s">
        <v>48</v>
      </c>
      <c r="Q173" s="6" t="s">
        <v>2219</v>
      </c>
      <c r="R173" s="6" t="s">
        <v>2220</v>
      </c>
      <c r="S173" s="6" t="s">
        <v>2199</v>
      </c>
      <c r="T173" s="6" t="s">
        <v>599</v>
      </c>
      <c r="U173" s="5">
        <v>41290.0</v>
      </c>
      <c r="V173" s="6" t="s">
        <v>54</v>
      </c>
      <c r="W173" s="6" t="s">
        <v>77</v>
      </c>
      <c r="X173" s="6" t="s">
        <v>102</v>
      </c>
      <c r="Y173" s="6" t="s">
        <v>78</v>
      </c>
      <c r="Z173" s="6" t="s">
        <v>2221</v>
      </c>
      <c r="AA173" s="6" t="s">
        <v>219</v>
      </c>
      <c r="AB173" s="6">
        <v>13.0</v>
      </c>
      <c r="AD173" s="7" t="s">
        <v>2121</v>
      </c>
      <c r="AE173" s="7" t="s">
        <v>2124</v>
      </c>
      <c r="AH173" s="11" t="str">
        <f>HYPERLINK("https://drive.google.com/file/d/1ARczWp5hhCAGjKQqJwCioMin3yEY3i-t/view?usp=drivesdk", "https://drive.google.com/file/d/1ARczWp5hhCAGjKQqJwCioMin3yEY3i-t/view?usp=drivesdk")</f>
        <v>https://drive.google.com/file/d/1ARczWp5hhCAGjKQqJwCioMin3yEY3i-t/view?usp=drivesdk</v>
      </c>
      <c r="AK173" s="6" t="s">
        <v>2182</v>
      </c>
      <c r="AL173" s="13"/>
    </row>
    <row r="174" ht="22.5" customHeight="1">
      <c r="A174" s="4">
        <v>45846.89798241898</v>
      </c>
      <c r="B174" s="5"/>
      <c r="C174" s="6" t="s">
        <v>2222</v>
      </c>
      <c r="D174" s="6" t="s">
        <v>2223</v>
      </c>
      <c r="E174" s="6" t="s">
        <v>2224</v>
      </c>
      <c r="F174" s="6" t="s">
        <v>2225</v>
      </c>
      <c r="G174" s="6" t="s">
        <v>66</v>
      </c>
      <c r="H174" s="7" t="s">
        <v>2226</v>
      </c>
      <c r="I174" s="6" t="s">
        <v>2227</v>
      </c>
      <c r="J174" s="6" t="s">
        <v>2228</v>
      </c>
      <c r="K174" s="6" t="s">
        <v>46</v>
      </c>
      <c r="L174" s="7" t="s">
        <v>2229</v>
      </c>
      <c r="M174" s="5">
        <v>45808.0</v>
      </c>
      <c r="N174" s="6" t="s">
        <v>48</v>
      </c>
      <c r="O174" s="6" t="s">
        <v>2230</v>
      </c>
      <c r="P174" s="6" t="s">
        <v>48</v>
      </c>
      <c r="Q174" s="6" t="s">
        <v>2231</v>
      </c>
      <c r="R174" s="6" t="s">
        <v>2232</v>
      </c>
      <c r="S174" s="6" t="s">
        <v>2232</v>
      </c>
      <c r="T174" s="6" t="s">
        <v>101</v>
      </c>
      <c r="U174" s="5">
        <v>44014.0</v>
      </c>
      <c r="V174" s="6" t="s">
        <v>54</v>
      </c>
      <c r="W174" s="6" t="s">
        <v>77</v>
      </c>
      <c r="X174" s="6" t="s">
        <v>102</v>
      </c>
      <c r="Z174" s="6" t="s">
        <v>2233</v>
      </c>
      <c r="AA174" s="6" t="s">
        <v>104</v>
      </c>
      <c r="AB174" s="6">
        <v>5.0</v>
      </c>
      <c r="AD174" s="7" t="s">
        <v>2234</v>
      </c>
      <c r="AE174" s="7" t="s">
        <v>2229</v>
      </c>
      <c r="AH174" s="10" t="str">
        <f>HYPERLINK("https://drive.google.com/file/d/1A5upC-7Nu8SbQOzeDvX86PDzmGsEXVHk/view?usp=drivesdk", "https://drive.google.com/file/d/1A5upC-7Nu8SbQOzeDvX86PDzmGsEXVHk/view?usp=drivesdk")</f>
        <v>https://drive.google.com/file/d/1A5upC-7Nu8SbQOzeDvX86PDzmGsEXVHk/view?usp=drivesdk</v>
      </c>
      <c r="AK174" s="6" t="s">
        <v>61</v>
      </c>
      <c r="AL174" s="13"/>
    </row>
    <row r="175" ht="22.5" customHeight="1">
      <c r="A175" s="4">
        <v>45846.90174685185</v>
      </c>
      <c r="B175" s="5">
        <v>45078.0</v>
      </c>
      <c r="C175" s="6" t="s">
        <v>2201</v>
      </c>
      <c r="D175" s="6" t="s">
        <v>2202</v>
      </c>
      <c r="E175" s="6" t="s">
        <v>2203</v>
      </c>
      <c r="F175" s="6" t="s">
        <v>2204</v>
      </c>
      <c r="G175" s="6" t="s">
        <v>42</v>
      </c>
      <c r="H175" s="7" t="s">
        <v>2205</v>
      </c>
      <c r="I175" s="6" t="s">
        <v>2206</v>
      </c>
      <c r="J175" s="6" t="s">
        <v>2207</v>
      </c>
      <c r="K175" s="6" t="s">
        <v>46</v>
      </c>
      <c r="L175" s="7" t="s">
        <v>2208</v>
      </c>
      <c r="M175" s="5">
        <v>45808.0</v>
      </c>
      <c r="N175" s="6" t="s">
        <v>48</v>
      </c>
      <c r="O175" s="6" t="s">
        <v>2209</v>
      </c>
      <c r="P175" s="6" t="s">
        <v>48</v>
      </c>
      <c r="Q175" s="6" t="s">
        <v>2210</v>
      </c>
      <c r="R175" s="6" t="s">
        <v>2211</v>
      </c>
      <c r="S175" s="6" t="s">
        <v>2212</v>
      </c>
      <c r="T175" s="6" t="s">
        <v>2213</v>
      </c>
      <c r="U175" s="5">
        <v>42186.0</v>
      </c>
      <c r="V175" s="6" t="s">
        <v>54</v>
      </c>
      <c r="W175" s="6" t="s">
        <v>55</v>
      </c>
      <c r="X175" s="6" t="s">
        <v>102</v>
      </c>
      <c r="Y175" s="6" t="s">
        <v>78</v>
      </c>
      <c r="Z175" s="6" t="s">
        <v>2214</v>
      </c>
      <c r="AA175" s="6" t="s">
        <v>370</v>
      </c>
      <c r="AB175" s="6">
        <v>28.0</v>
      </c>
      <c r="AD175" s="7" t="s">
        <v>2205</v>
      </c>
      <c r="AE175" s="7" t="s">
        <v>2205</v>
      </c>
      <c r="AH175" s="11" t="str">
        <f>HYPERLINK("https://drive.google.com/file/d/1m-k_OwIXo-UZZ8tgLo6DCzu-fFqBYJGE/view?usp=drivesdk", "https://drive.google.com/file/d/1m-k_OwIXo-UZZ8tgLo6DCzu-fFqBYJGE/view?usp=drivesdk")</f>
        <v>https://drive.google.com/file/d/1m-k_OwIXo-UZZ8tgLo6DCzu-fFqBYJGE/view?usp=drivesdk</v>
      </c>
      <c r="AJ175" s="6" t="s">
        <v>2235</v>
      </c>
      <c r="AK175" s="6" t="s">
        <v>61</v>
      </c>
      <c r="AL175" s="13"/>
    </row>
    <row r="176" ht="22.5" customHeight="1">
      <c r="A176" s="4">
        <v>45846.90277598379</v>
      </c>
      <c r="B176" s="5">
        <v>42922.0</v>
      </c>
      <c r="C176" s="6" t="s">
        <v>2236</v>
      </c>
      <c r="D176" s="6" t="s">
        <v>2237</v>
      </c>
      <c r="E176" s="6" t="s">
        <v>2238</v>
      </c>
      <c r="F176" s="6" t="s">
        <v>2239</v>
      </c>
      <c r="G176" s="6" t="s">
        <v>2240</v>
      </c>
      <c r="H176" s="7" t="s">
        <v>2241</v>
      </c>
      <c r="I176" s="6" t="s">
        <v>2242</v>
      </c>
      <c r="J176" s="6" t="s">
        <v>2243</v>
      </c>
      <c r="K176" s="6" t="s">
        <v>46</v>
      </c>
      <c r="L176" s="7" t="s">
        <v>2244</v>
      </c>
      <c r="M176" s="5">
        <v>45808.0</v>
      </c>
      <c r="N176" s="6" t="s">
        <v>48</v>
      </c>
      <c r="O176" s="6" t="s">
        <v>2245</v>
      </c>
      <c r="P176" s="6" t="s">
        <v>48</v>
      </c>
      <c r="Q176" s="6" t="s">
        <v>2246</v>
      </c>
      <c r="R176" s="6" t="s">
        <v>2247</v>
      </c>
      <c r="S176" s="6" t="s">
        <v>2248</v>
      </c>
      <c r="T176" s="6" t="s">
        <v>802</v>
      </c>
      <c r="U176" s="5">
        <v>40851.0</v>
      </c>
      <c r="V176" s="6" t="s">
        <v>54</v>
      </c>
      <c r="W176" s="6" t="s">
        <v>77</v>
      </c>
      <c r="X176" s="6" t="s">
        <v>102</v>
      </c>
      <c r="Y176" s="6" t="s">
        <v>123</v>
      </c>
      <c r="Z176" s="6" t="s">
        <v>2249</v>
      </c>
      <c r="AA176" s="6" t="s">
        <v>423</v>
      </c>
      <c r="AB176" s="6">
        <v>6.0</v>
      </c>
      <c r="AD176" s="7" t="s">
        <v>2241</v>
      </c>
      <c r="AE176" s="7" t="s">
        <v>2244</v>
      </c>
      <c r="AH176" s="10" t="str">
        <f t="shared" ref="AH176:AH177" si="30">HYPERLINK("https://drive.google.com/file/d/1B7f7_gz9fcepg4p2TJWGfKtHhNN_SfJ_/view?usp=drivesdk", "https://drive.google.com/file/d/1B7f7_gz9fcepg4p2TJWGfKtHhNN_SfJ_/view?usp=drivesdk")</f>
        <v>https://drive.google.com/file/d/1B7f7_gz9fcepg4p2TJWGfKtHhNN_SfJ_/view?usp=drivesdk</v>
      </c>
      <c r="AJ176" s="6" t="s">
        <v>2250</v>
      </c>
      <c r="AK176" s="6" t="s">
        <v>605</v>
      </c>
      <c r="AL176" s="13"/>
    </row>
    <row r="177" ht="22.5" customHeight="1">
      <c r="A177" s="4">
        <v>45846.90902415509</v>
      </c>
      <c r="B177" s="5">
        <v>42922.0</v>
      </c>
      <c r="C177" s="6" t="s">
        <v>2236</v>
      </c>
      <c r="D177" s="6" t="s">
        <v>2237</v>
      </c>
      <c r="E177" s="6" t="s">
        <v>2238</v>
      </c>
      <c r="F177" s="6" t="s">
        <v>2251</v>
      </c>
      <c r="G177" s="6" t="s">
        <v>2240</v>
      </c>
      <c r="H177" s="7" t="s">
        <v>2241</v>
      </c>
      <c r="I177" s="6" t="s">
        <v>2242</v>
      </c>
      <c r="J177" s="6" t="s">
        <v>2243</v>
      </c>
      <c r="K177" s="6" t="s">
        <v>46</v>
      </c>
      <c r="L177" s="7" t="s">
        <v>2244</v>
      </c>
      <c r="M177" s="5">
        <v>45808.0</v>
      </c>
      <c r="N177" s="6" t="s">
        <v>71</v>
      </c>
      <c r="O177" s="6" t="s">
        <v>2245</v>
      </c>
      <c r="P177" s="6" t="s">
        <v>48</v>
      </c>
      <c r="Q177" s="6" t="s">
        <v>2246</v>
      </c>
      <c r="R177" s="6" t="s">
        <v>2247</v>
      </c>
      <c r="S177" s="6" t="s">
        <v>2248</v>
      </c>
      <c r="T177" s="6" t="s">
        <v>802</v>
      </c>
      <c r="U177" s="5">
        <v>40851.0</v>
      </c>
      <c r="V177" s="6" t="s">
        <v>54</v>
      </c>
      <c r="W177" s="6" t="s">
        <v>77</v>
      </c>
      <c r="X177" s="6" t="s">
        <v>102</v>
      </c>
      <c r="Y177" s="6" t="s">
        <v>123</v>
      </c>
      <c r="Z177" s="6" t="s">
        <v>2249</v>
      </c>
      <c r="AA177" s="6" t="s">
        <v>423</v>
      </c>
      <c r="AD177" s="7" t="s">
        <v>2241</v>
      </c>
      <c r="AE177" s="7" t="s">
        <v>2252</v>
      </c>
      <c r="AH177" s="11" t="str">
        <f t="shared" si="30"/>
        <v>https://drive.google.com/file/d/1B7f7_gz9fcepg4p2TJWGfKtHhNN_SfJ_/view?usp=drivesdk</v>
      </c>
      <c r="AJ177" s="6" t="s">
        <v>1084</v>
      </c>
      <c r="AK177" s="6" t="s">
        <v>61</v>
      </c>
      <c r="AL177" s="13"/>
    </row>
    <row r="178" ht="22.5" customHeight="1">
      <c r="A178" s="4">
        <v>45846.91041616898</v>
      </c>
      <c r="B178" s="5">
        <v>44575.0</v>
      </c>
      <c r="C178" s="6" t="s">
        <v>2253</v>
      </c>
      <c r="D178" s="6" t="s">
        <v>2254</v>
      </c>
      <c r="E178" s="6" t="s">
        <v>2255</v>
      </c>
      <c r="F178" s="6" t="s">
        <v>2256</v>
      </c>
      <c r="G178" s="6" t="s">
        <v>714</v>
      </c>
      <c r="H178" s="7" t="s">
        <v>2257</v>
      </c>
      <c r="I178" s="6" t="s">
        <v>2258</v>
      </c>
      <c r="J178" s="6" t="s">
        <v>2259</v>
      </c>
      <c r="K178" s="6" t="s">
        <v>714</v>
      </c>
      <c r="L178" s="7" t="s">
        <v>2260</v>
      </c>
      <c r="M178" s="5">
        <v>45808.0</v>
      </c>
      <c r="N178" s="6" t="s">
        <v>48</v>
      </c>
      <c r="O178" s="6" t="s">
        <v>2261</v>
      </c>
      <c r="P178" s="6" t="s">
        <v>48</v>
      </c>
      <c r="Q178" s="6" t="s">
        <v>2262</v>
      </c>
      <c r="R178" s="6" t="s">
        <v>2263</v>
      </c>
      <c r="S178" s="6" t="s">
        <v>76</v>
      </c>
      <c r="T178" s="6" t="s">
        <v>76</v>
      </c>
      <c r="U178" s="5">
        <v>42493.0</v>
      </c>
      <c r="V178" s="6" t="s">
        <v>54</v>
      </c>
      <c r="W178" s="6" t="s">
        <v>55</v>
      </c>
      <c r="X178" s="6" t="s">
        <v>102</v>
      </c>
      <c r="Y178" s="6" t="s">
        <v>123</v>
      </c>
      <c r="Z178" s="6" t="s">
        <v>2264</v>
      </c>
      <c r="AA178" s="6" t="s">
        <v>672</v>
      </c>
      <c r="AB178" s="6">
        <v>3.0</v>
      </c>
      <c r="AD178" s="7" t="s">
        <v>2257</v>
      </c>
      <c r="AE178" s="7" t="s">
        <v>2260</v>
      </c>
      <c r="AH178" s="10" t="str">
        <f>HYPERLINK("https://drive.google.com/file/d/1oBsLY0KBXtYgDXXcjwQtGXWCHlY3_XGN/view?usp=drivesdk", "https://drive.google.com/file/d/1oBsLY0KBXtYgDXXcjwQtGXWCHlY3_XGN/view?usp=drivesdk")</f>
        <v>https://drive.google.com/file/d/1oBsLY0KBXtYgDXXcjwQtGXWCHlY3_XGN/view?usp=drivesdk</v>
      </c>
      <c r="AK178" s="6" t="s">
        <v>2182</v>
      </c>
      <c r="AL178" s="13"/>
    </row>
    <row r="179" ht="22.5" customHeight="1">
      <c r="A179" s="4">
        <v>45846.91183445602</v>
      </c>
      <c r="B179" s="5">
        <v>45380.0</v>
      </c>
      <c r="C179" s="6" t="s">
        <v>2265</v>
      </c>
      <c r="D179" s="6" t="s">
        <v>2266</v>
      </c>
      <c r="E179" s="6" t="s">
        <v>2267</v>
      </c>
      <c r="F179" s="6" t="s">
        <v>2133</v>
      </c>
      <c r="G179" s="6" t="s">
        <v>2268</v>
      </c>
      <c r="H179" s="7" t="s">
        <v>2135</v>
      </c>
      <c r="I179" s="6" t="s">
        <v>2269</v>
      </c>
      <c r="J179" s="6" t="s">
        <v>2270</v>
      </c>
      <c r="K179" s="6" t="s">
        <v>749</v>
      </c>
      <c r="L179" s="7" t="s">
        <v>2138</v>
      </c>
      <c r="M179" s="5">
        <v>45808.0</v>
      </c>
      <c r="N179" s="6" t="s">
        <v>48</v>
      </c>
      <c r="O179" s="6" t="s">
        <v>2271</v>
      </c>
      <c r="P179" s="6" t="s">
        <v>48</v>
      </c>
      <c r="Q179" s="6" t="s">
        <v>2272</v>
      </c>
      <c r="R179" s="6" t="s">
        <v>2273</v>
      </c>
      <c r="S179" s="6" t="s">
        <v>2274</v>
      </c>
      <c r="T179" s="6" t="s">
        <v>217</v>
      </c>
      <c r="U179" s="5">
        <v>42585.0</v>
      </c>
      <c r="V179" s="6" t="s">
        <v>54</v>
      </c>
      <c r="W179" s="6" t="s">
        <v>55</v>
      </c>
      <c r="X179" s="6" t="s">
        <v>102</v>
      </c>
      <c r="Y179" s="6" t="s">
        <v>160</v>
      </c>
      <c r="Z179" s="6" t="s">
        <v>2214</v>
      </c>
      <c r="AD179" s="7" t="s">
        <v>2135</v>
      </c>
      <c r="AE179" s="7" t="s">
        <v>2135</v>
      </c>
      <c r="AH179" s="11" t="str">
        <f t="shared" ref="AH179:AH180" si="31">HYPERLINK("https://drive.google.com/file/d/1hS3zpNvSesuqiSs-d4iB84ScPgmDs-V-/view?usp=drivesdk", "https://drive.google.com/file/d/1hS3zpNvSesuqiSs-d4iB84ScPgmDs-V-/view?usp=drivesdk")</f>
        <v>https://drive.google.com/file/d/1hS3zpNvSesuqiSs-d4iB84ScPgmDs-V-/view?usp=drivesdk</v>
      </c>
      <c r="AJ179" s="6" t="s">
        <v>2275</v>
      </c>
      <c r="AK179" s="6" t="s">
        <v>605</v>
      </c>
      <c r="AL179" s="13"/>
    </row>
    <row r="180" ht="22.5" customHeight="1">
      <c r="A180" s="4">
        <v>45846.91617009259</v>
      </c>
      <c r="B180" s="5">
        <v>45380.0</v>
      </c>
      <c r="C180" s="6" t="s">
        <v>2265</v>
      </c>
      <c r="D180" s="6" t="s">
        <v>2266</v>
      </c>
      <c r="E180" s="6" t="s">
        <v>2267</v>
      </c>
      <c r="F180" s="6" t="s">
        <v>2133</v>
      </c>
      <c r="G180" s="6" t="s">
        <v>2268</v>
      </c>
      <c r="H180" s="7" t="s">
        <v>2135</v>
      </c>
      <c r="I180" s="6" t="s">
        <v>2269</v>
      </c>
      <c r="J180" s="6" t="s">
        <v>2270</v>
      </c>
      <c r="K180" s="6" t="s">
        <v>749</v>
      </c>
      <c r="L180" s="7" t="s">
        <v>2138</v>
      </c>
      <c r="M180" s="5">
        <v>45808.0</v>
      </c>
      <c r="N180" s="6" t="s">
        <v>504</v>
      </c>
      <c r="O180" s="6" t="s">
        <v>2271</v>
      </c>
      <c r="P180" s="6" t="s">
        <v>504</v>
      </c>
      <c r="Q180" s="6" t="s">
        <v>2272</v>
      </c>
      <c r="R180" s="6" t="s">
        <v>2273</v>
      </c>
      <c r="S180" s="6" t="s">
        <v>2274</v>
      </c>
      <c r="T180" s="6" t="s">
        <v>217</v>
      </c>
      <c r="U180" s="5">
        <v>42585.0</v>
      </c>
      <c r="V180" s="6" t="s">
        <v>54</v>
      </c>
      <c r="W180" s="6" t="s">
        <v>55</v>
      </c>
      <c r="X180" s="6" t="s">
        <v>102</v>
      </c>
      <c r="Y180" s="6" t="s">
        <v>160</v>
      </c>
      <c r="Z180" s="6" t="s">
        <v>2214</v>
      </c>
      <c r="AD180" s="7" t="s">
        <v>2135</v>
      </c>
      <c r="AE180" s="7" t="s">
        <v>2135</v>
      </c>
      <c r="AH180" s="10" t="str">
        <f t="shared" si="31"/>
        <v>https://drive.google.com/file/d/1hS3zpNvSesuqiSs-d4iB84ScPgmDs-V-/view?usp=drivesdk</v>
      </c>
      <c r="AJ180" s="6" t="s">
        <v>1084</v>
      </c>
      <c r="AK180" s="6" t="s">
        <v>1077</v>
      </c>
      <c r="AL180" s="13"/>
    </row>
    <row r="181" ht="22.5" customHeight="1">
      <c r="A181" s="4">
        <v>45846.91713030092</v>
      </c>
      <c r="B181" s="5">
        <v>44838.0</v>
      </c>
      <c r="C181" s="6" t="s">
        <v>2276</v>
      </c>
      <c r="D181" s="6" t="s">
        <v>2277</v>
      </c>
      <c r="E181" s="6" t="s">
        <v>2278</v>
      </c>
      <c r="F181" s="6" t="s">
        <v>2279</v>
      </c>
      <c r="G181" s="6" t="s">
        <v>91</v>
      </c>
      <c r="H181" s="7" t="s">
        <v>2280</v>
      </c>
      <c r="I181" s="6" t="s">
        <v>2281</v>
      </c>
      <c r="J181" s="6" t="s">
        <v>2282</v>
      </c>
      <c r="K181" s="6" t="s">
        <v>95</v>
      </c>
      <c r="L181" s="7" t="s">
        <v>2283</v>
      </c>
      <c r="M181" s="5">
        <v>45808.0</v>
      </c>
      <c r="N181" s="6" t="s">
        <v>48</v>
      </c>
      <c r="O181" s="6" t="s">
        <v>2284</v>
      </c>
      <c r="P181" s="6" t="s">
        <v>48</v>
      </c>
      <c r="R181" s="6" t="s">
        <v>2285</v>
      </c>
      <c r="S181" s="6" t="s">
        <v>2286</v>
      </c>
      <c r="T181" s="6" t="s">
        <v>1256</v>
      </c>
      <c r="U181" s="5">
        <v>42306.0</v>
      </c>
      <c r="V181" s="6" t="s">
        <v>54</v>
      </c>
      <c r="W181" s="6" t="s">
        <v>55</v>
      </c>
      <c r="X181" s="6" t="s">
        <v>102</v>
      </c>
      <c r="Y181" s="6" t="s">
        <v>160</v>
      </c>
      <c r="Z181" s="6" t="s">
        <v>2287</v>
      </c>
      <c r="AA181" s="6" t="s">
        <v>370</v>
      </c>
      <c r="AB181" s="6">
        <v>11.0</v>
      </c>
      <c r="AD181" s="7" t="s">
        <v>2283</v>
      </c>
      <c r="AE181" s="7" t="s">
        <v>2288</v>
      </c>
      <c r="AH181" s="11" t="str">
        <f>HYPERLINK("https://drive.google.com/file/d/1-aS3tHmE-EhKTew0fupBQ4ElvOQvgjtB/view?usp=drivesdk", "https://drive.google.com/file/d/1-aS3tHmE-EhKTew0fupBQ4ElvOQvgjtB/view?usp=drivesdk")</f>
        <v>https://drive.google.com/file/d/1-aS3tHmE-EhKTew0fupBQ4ElvOQvgjtB/view?usp=drivesdk</v>
      </c>
      <c r="AJ181" s="6" t="s">
        <v>949</v>
      </c>
      <c r="AK181" s="6" t="s">
        <v>2182</v>
      </c>
      <c r="AL181" s="13"/>
    </row>
    <row r="182" ht="22.5" customHeight="1">
      <c r="A182" s="4">
        <v>45846.923321724535</v>
      </c>
      <c r="B182" s="5">
        <v>45287.0</v>
      </c>
      <c r="C182" s="6" t="s">
        <v>2289</v>
      </c>
      <c r="D182" s="6" t="s">
        <v>2290</v>
      </c>
      <c r="E182" s="6" t="s">
        <v>2291</v>
      </c>
      <c r="F182" s="6" t="s">
        <v>2292</v>
      </c>
      <c r="G182" s="6" t="s">
        <v>2293</v>
      </c>
      <c r="H182" s="7" t="s">
        <v>2294</v>
      </c>
      <c r="I182" s="6" t="s">
        <v>2295</v>
      </c>
      <c r="J182" s="6" t="s">
        <v>2296</v>
      </c>
      <c r="K182" s="6" t="s">
        <v>2297</v>
      </c>
      <c r="L182" s="7" t="s">
        <v>2298</v>
      </c>
      <c r="M182" s="5">
        <v>45808.0</v>
      </c>
      <c r="N182" s="6" t="s">
        <v>48</v>
      </c>
      <c r="O182" s="6" t="s">
        <v>2299</v>
      </c>
      <c r="P182" s="6" t="s">
        <v>48</v>
      </c>
      <c r="Q182" s="6" t="s">
        <v>2300</v>
      </c>
      <c r="R182" s="6" t="s">
        <v>2301</v>
      </c>
      <c r="S182" s="6" t="s">
        <v>2302</v>
      </c>
      <c r="T182" s="6" t="s">
        <v>459</v>
      </c>
      <c r="U182" s="5">
        <v>43913.0</v>
      </c>
      <c r="V182" s="6" t="s">
        <v>54</v>
      </c>
      <c r="W182" s="6" t="s">
        <v>55</v>
      </c>
      <c r="X182" s="6" t="s">
        <v>102</v>
      </c>
      <c r="Y182" s="6" t="s">
        <v>78</v>
      </c>
      <c r="Z182" s="6" t="s">
        <v>2303</v>
      </c>
      <c r="AA182" s="6" t="s">
        <v>2304</v>
      </c>
      <c r="AB182" s="6">
        <v>6.0</v>
      </c>
      <c r="AD182" s="7" t="s">
        <v>2298</v>
      </c>
      <c r="AE182" s="7" t="s">
        <v>2294</v>
      </c>
      <c r="AH182" s="10" t="str">
        <f>HYPERLINK("https://drive.google.com/file/d/1MhjPZSY52LhklLZ3ryi7IcXYJPCeW607/view?usp=drivesdk", "https://drive.google.com/file/d/1MhjPZSY52LhklLZ3ryi7IcXYJPCeW607/view?usp=drivesdk")</f>
        <v>https://drive.google.com/file/d/1MhjPZSY52LhklLZ3ryi7IcXYJPCeW607/view?usp=drivesdk</v>
      </c>
      <c r="AK182" s="6" t="s">
        <v>605</v>
      </c>
      <c r="AL182" s="13"/>
    </row>
    <row r="183" ht="22.5" customHeight="1">
      <c r="A183" s="4">
        <v>45846.93896238426</v>
      </c>
      <c r="B183" s="5">
        <v>44562.0</v>
      </c>
      <c r="C183" s="6" t="s">
        <v>2305</v>
      </c>
      <c r="D183" s="6" t="s">
        <v>2306</v>
      </c>
      <c r="E183" s="6" t="s">
        <v>2307</v>
      </c>
      <c r="F183" s="6" t="s">
        <v>2308</v>
      </c>
      <c r="G183" s="6" t="s">
        <v>66</v>
      </c>
      <c r="H183" s="7" t="s">
        <v>2309</v>
      </c>
      <c r="I183" s="6" t="s">
        <v>2310</v>
      </c>
      <c r="J183" s="6" t="s">
        <v>2311</v>
      </c>
      <c r="K183" s="6" t="s">
        <v>46</v>
      </c>
      <c r="L183" s="7" t="s">
        <v>2312</v>
      </c>
      <c r="M183" s="5">
        <v>45808.0</v>
      </c>
      <c r="N183" s="6" t="s">
        <v>48</v>
      </c>
      <c r="O183" s="6" t="s">
        <v>2313</v>
      </c>
      <c r="P183" s="6" t="s">
        <v>48</v>
      </c>
      <c r="Q183" s="6" t="s">
        <v>2314</v>
      </c>
      <c r="R183" s="6" t="s">
        <v>2315</v>
      </c>
      <c r="S183" s="6" t="s">
        <v>2316</v>
      </c>
      <c r="T183" s="6" t="s">
        <v>217</v>
      </c>
      <c r="U183" s="5">
        <v>41782.0</v>
      </c>
      <c r="V183" s="6" t="s">
        <v>54</v>
      </c>
      <c r="W183" s="6" t="s">
        <v>77</v>
      </c>
      <c r="X183" s="6" t="s">
        <v>102</v>
      </c>
      <c r="Z183" s="6" t="s">
        <v>2317</v>
      </c>
      <c r="AA183" s="6" t="s">
        <v>275</v>
      </c>
      <c r="AB183" s="6">
        <v>3.0</v>
      </c>
      <c r="AD183" s="7" t="s">
        <v>2309</v>
      </c>
      <c r="AE183" s="7" t="s">
        <v>2312</v>
      </c>
      <c r="AH183" s="11" t="str">
        <f>HYPERLINK("https://drive.google.com/file/d/1D3hi3KW5NEtANf3C0N9VYsYeIQPsDHhp/view?usp=drivesdk", "https://drive.google.com/file/d/1D3hi3KW5NEtANf3C0N9VYsYeIQPsDHhp/view?usp=drivesdk")</f>
        <v>https://drive.google.com/file/d/1D3hi3KW5NEtANf3C0N9VYsYeIQPsDHhp/view?usp=drivesdk</v>
      </c>
      <c r="AK183" s="6" t="s">
        <v>605</v>
      </c>
      <c r="AL183" s="13"/>
    </row>
    <row r="184" ht="22.5" customHeight="1">
      <c r="A184" s="4">
        <v>45846.947724224534</v>
      </c>
      <c r="B184" s="5">
        <v>45352.0</v>
      </c>
      <c r="C184" s="6" t="s">
        <v>2318</v>
      </c>
      <c r="D184" s="6" t="s">
        <v>2319</v>
      </c>
      <c r="E184" s="6" t="s">
        <v>2320</v>
      </c>
      <c r="F184" s="6" t="s">
        <v>2321</v>
      </c>
      <c r="G184" s="6" t="s">
        <v>150</v>
      </c>
      <c r="H184" s="7" t="s">
        <v>2322</v>
      </c>
      <c r="I184" s="6" t="s">
        <v>2323</v>
      </c>
      <c r="J184" s="6" t="s">
        <v>2324</v>
      </c>
      <c r="K184" s="6" t="s">
        <v>130</v>
      </c>
      <c r="L184" s="7" t="s">
        <v>2325</v>
      </c>
      <c r="M184" s="5">
        <v>45808.0</v>
      </c>
      <c r="N184" s="6" t="s">
        <v>48</v>
      </c>
      <c r="O184" s="6" t="s">
        <v>2326</v>
      </c>
      <c r="P184" s="6" t="s">
        <v>48</v>
      </c>
      <c r="R184" s="6" t="s">
        <v>2327</v>
      </c>
      <c r="S184" s="6" t="s">
        <v>687</v>
      </c>
      <c r="T184" s="6" t="s">
        <v>101</v>
      </c>
      <c r="U184" s="5">
        <v>43532.0</v>
      </c>
      <c r="V184" s="6" t="s">
        <v>54</v>
      </c>
      <c r="W184" s="6" t="s">
        <v>55</v>
      </c>
      <c r="X184" s="6" t="s">
        <v>102</v>
      </c>
      <c r="Z184" s="6" t="s">
        <v>2328</v>
      </c>
      <c r="AA184" s="6" t="s">
        <v>140</v>
      </c>
      <c r="AB184" s="6">
        <v>5.0</v>
      </c>
      <c r="AD184" s="7" t="s">
        <v>2329</v>
      </c>
      <c r="AE184" s="7" t="s">
        <v>2322</v>
      </c>
      <c r="AH184" s="10" t="str">
        <f>HYPERLINK("https://drive.google.com/file/d/1167VCE5ASypyEFdu79GX9UC25cPVJINg/view?usp=drivesdk", "https://drive.google.com/file/d/1167VCE5ASypyEFdu79GX9UC25cPVJINg/view?usp=drivesdk")</f>
        <v>https://drive.google.com/file/d/1167VCE5ASypyEFdu79GX9UC25cPVJINg/view?usp=drivesdk</v>
      </c>
      <c r="AJ184" s="6" t="s">
        <v>2330</v>
      </c>
      <c r="AK184" s="6" t="s">
        <v>605</v>
      </c>
      <c r="AL184" s="13"/>
    </row>
    <row r="185" ht="22.5" customHeight="1">
      <c r="A185" s="4">
        <v>45846.955013900464</v>
      </c>
      <c r="B185" s="5">
        <v>45114.0</v>
      </c>
      <c r="C185" s="6" t="s">
        <v>2331</v>
      </c>
      <c r="D185" s="6" t="s">
        <v>2332</v>
      </c>
      <c r="E185" s="6" t="s">
        <v>2333</v>
      </c>
      <c r="F185" s="6" t="s">
        <v>2334</v>
      </c>
      <c r="G185" s="6" t="s">
        <v>150</v>
      </c>
      <c r="H185" s="7" t="s">
        <v>2335</v>
      </c>
      <c r="I185" s="6" t="s">
        <v>2336</v>
      </c>
      <c r="J185" s="6" t="s">
        <v>2337</v>
      </c>
      <c r="K185" s="6" t="s">
        <v>2338</v>
      </c>
      <c r="L185" s="7" t="s">
        <v>2339</v>
      </c>
      <c r="M185" s="5">
        <v>45808.0</v>
      </c>
      <c r="N185" s="6" t="s">
        <v>48</v>
      </c>
      <c r="O185" s="6" t="s">
        <v>2340</v>
      </c>
      <c r="P185" s="6" t="s">
        <v>48</v>
      </c>
      <c r="Q185" s="6" t="s">
        <v>2341</v>
      </c>
      <c r="R185" s="6" t="s">
        <v>2342</v>
      </c>
      <c r="S185" s="6" t="s">
        <v>687</v>
      </c>
      <c r="T185" s="6" t="s">
        <v>101</v>
      </c>
      <c r="U185" s="5">
        <v>42894.0</v>
      </c>
      <c r="V185" s="6" t="s">
        <v>54</v>
      </c>
      <c r="W185" s="6" t="s">
        <v>77</v>
      </c>
      <c r="X185" s="6" t="s">
        <v>102</v>
      </c>
      <c r="Y185" s="6" t="s">
        <v>78</v>
      </c>
      <c r="Z185" s="6" t="s">
        <v>2343</v>
      </c>
      <c r="AA185" s="6" t="s">
        <v>820</v>
      </c>
      <c r="AB185" s="6">
        <v>15.0</v>
      </c>
      <c r="AD185" s="7" t="s">
        <v>2335</v>
      </c>
      <c r="AE185" s="7" t="s">
        <v>2335</v>
      </c>
      <c r="AH185" s="11" t="str">
        <f>HYPERLINK("https://drive.google.com/file/d/1dT1iQbTj6LeIvKH2uzqMiJiGY--vd9Cp/view?usp=drivesdk", "https://drive.google.com/file/d/1dT1iQbTj6LeIvKH2uzqMiJiGY--vd9Cp/view?usp=drivesdk")</f>
        <v>https://drive.google.com/file/d/1dT1iQbTj6LeIvKH2uzqMiJiGY--vd9Cp/view?usp=drivesdk</v>
      </c>
      <c r="AK185" s="6" t="s">
        <v>605</v>
      </c>
      <c r="AL185" s="13"/>
    </row>
    <row r="186" ht="22.5" customHeight="1">
      <c r="A186" s="4">
        <v>45847.56580599537</v>
      </c>
      <c r="B186" s="5">
        <v>45835.0</v>
      </c>
      <c r="C186" s="6" t="s">
        <v>2344</v>
      </c>
      <c r="D186" s="6" t="s">
        <v>2345</v>
      </c>
      <c r="E186" s="6" t="s">
        <v>2346</v>
      </c>
      <c r="F186" s="6" t="s">
        <v>2347</v>
      </c>
      <c r="G186" s="6" t="s">
        <v>66</v>
      </c>
      <c r="H186" s="7" t="s">
        <v>2348</v>
      </c>
      <c r="I186" s="6" t="s">
        <v>2349</v>
      </c>
      <c r="J186" s="6" t="s">
        <v>2350</v>
      </c>
      <c r="K186" s="6" t="s">
        <v>46</v>
      </c>
      <c r="L186" s="7" t="s">
        <v>2351</v>
      </c>
      <c r="M186" s="5">
        <v>45808.0</v>
      </c>
      <c r="N186" s="6" t="s">
        <v>48</v>
      </c>
      <c r="O186" s="6" t="s">
        <v>2352</v>
      </c>
      <c r="P186" s="6" t="s">
        <v>48</v>
      </c>
      <c r="Q186" s="6" t="s">
        <v>2353</v>
      </c>
      <c r="R186" s="6" t="s">
        <v>2354</v>
      </c>
      <c r="S186" s="6" t="s">
        <v>2355</v>
      </c>
      <c r="T186" s="6" t="s">
        <v>101</v>
      </c>
      <c r="U186" s="5">
        <v>40589.0</v>
      </c>
      <c r="V186" s="6" t="s">
        <v>54</v>
      </c>
      <c r="W186" s="6" t="s">
        <v>77</v>
      </c>
      <c r="X186" s="6" t="s">
        <v>102</v>
      </c>
      <c r="Y186" s="6" t="s">
        <v>439</v>
      </c>
      <c r="Z186" s="6" t="s">
        <v>2264</v>
      </c>
      <c r="AA186" s="6" t="s">
        <v>2356</v>
      </c>
      <c r="AB186" s="6">
        <v>29.0</v>
      </c>
      <c r="AC186" s="6" t="s">
        <v>2357</v>
      </c>
      <c r="AD186" s="7" t="s">
        <v>2351</v>
      </c>
      <c r="AE186" s="7" t="s">
        <v>2358</v>
      </c>
      <c r="AF186" s="6" t="s">
        <v>2359</v>
      </c>
      <c r="AG186" s="6" t="s">
        <v>2360</v>
      </c>
      <c r="AH186" s="10" t="str">
        <f>HYPERLINK("https://drive.google.com/file/d/1fP5-yitlU4rrJekENYg0u3I1FrqQC8DC/view?usp=drivesdk", "https://drive.google.com/file/d/1fP5-yitlU4rrJekENYg0u3I1FrqQC8DC/view?usp=drivesdk")</f>
        <v>https://drive.google.com/file/d/1fP5-yitlU4rrJekENYg0u3I1FrqQC8DC/view?usp=drivesdk</v>
      </c>
      <c r="AJ186" s="6" t="s">
        <v>585</v>
      </c>
      <c r="AK186" s="6" t="s">
        <v>61</v>
      </c>
      <c r="AL186" s="13"/>
    </row>
    <row r="187" ht="22.5" customHeight="1">
      <c r="A187" s="4">
        <v>45847.56584621528</v>
      </c>
      <c r="B187" s="5">
        <v>45835.0</v>
      </c>
      <c r="C187" s="6" t="s">
        <v>2361</v>
      </c>
      <c r="D187" s="6" t="s">
        <v>2362</v>
      </c>
      <c r="E187" s="6" t="s">
        <v>2346</v>
      </c>
      <c r="F187" s="6" t="s">
        <v>2347</v>
      </c>
      <c r="G187" s="6" t="s">
        <v>66</v>
      </c>
      <c r="H187" s="7" t="s">
        <v>2348</v>
      </c>
      <c r="I187" s="6" t="s">
        <v>2349</v>
      </c>
      <c r="J187" s="6" t="s">
        <v>2350</v>
      </c>
      <c r="K187" s="6" t="s">
        <v>46</v>
      </c>
      <c r="L187" s="7" t="s">
        <v>2351</v>
      </c>
      <c r="M187" s="5">
        <v>45808.0</v>
      </c>
      <c r="N187" s="6" t="s">
        <v>48</v>
      </c>
      <c r="O187" s="6" t="s">
        <v>2363</v>
      </c>
      <c r="P187" s="6" t="s">
        <v>48</v>
      </c>
      <c r="Q187" s="6" t="s">
        <v>2364</v>
      </c>
      <c r="R187" s="6" t="s">
        <v>2354</v>
      </c>
      <c r="S187" s="6" t="s">
        <v>2355</v>
      </c>
      <c r="T187" s="6" t="s">
        <v>101</v>
      </c>
      <c r="U187" s="5">
        <v>44067.0</v>
      </c>
      <c r="V187" s="6" t="s">
        <v>54</v>
      </c>
      <c r="W187" s="6" t="s">
        <v>55</v>
      </c>
      <c r="X187" s="6" t="s">
        <v>102</v>
      </c>
      <c r="Y187" s="6" t="s">
        <v>439</v>
      </c>
      <c r="Z187" s="6" t="s">
        <v>2365</v>
      </c>
      <c r="AA187" s="6" t="s">
        <v>947</v>
      </c>
      <c r="AB187" s="6" t="s">
        <v>2366</v>
      </c>
      <c r="AD187" s="7" t="s">
        <v>2351</v>
      </c>
      <c r="AE187" s="7" t="s">
        <v>2358</v>
      </c>
      <c r="AF187" s="6" t="s">
        <v>2359</v>
      </c>
      <c r="AG187" s="6" t="s">
        <v>2360</v>
      </c>
      <c r="AH187" s="11" t="str">
        <f>HYPERLINK("https://drive.google.com/file/d/1SB2tzI40B6uqIQ9UUXWeeY-n1nQGndFK/view?usp=drivesdk", "https://drive.google.com/file/d/1SB2tzI40B6uqIQ9UUXWeeY-n1nQGndFK/view?usp=drivesdk")</f>
        <v>https://drive.google.com/file/d/1SB2tzI40B6uqIQ9UUXWeeY-n1nQGndFK/view?usp=drivesdk</v>
      </c>
      <c r="AJ187" s="6" t="s">
        <v>585</v>
      </c>
      <c r="AK187" s="6" t="s">
        <v>61</v>
      </c>
      <c r="AL187" s="13"/>
    </row>
    <row r="188" ht="22.5" customHeight="1">
      <c r="A188" s="4">
        <v>45847.58412385416</v>
      </c>
      <c r="B188" s="5">
        <v>44875.0</v>
      </c>
      <c r="C188" s="6" t="s">
        <v>2367</v>
      </c>
      <c r="D188" s="6" t="s">
        <v>2368</v>
      </c>
      <c r="E188" s="6" t="s">
        <v>2369</v>
      </c>
      <c r="F188" s="6" t="s">
        <v>2370</v>
      </c>
      <c r="G188" s="6" t="s">
        <v>42</v>
      </c>
      <c r="H188" s="7" t="s">
        <v>2371</v>
      </c>
      <c r="I188" s="6" t="s">
        <v>2372</v>
      </c>
      <c r="J188" s="6" t="s">
        <v>2373</v>
      </c>
      <c r="K188" s="6" t="s">
        <v>46</v>
      </c>
      <c r="L188" s="7" t="s">
        <v>2374</v>
      </c>
      <c r="M188" s="5">
        <v>45808.0</v>
      </c>
      <c r="N188" s="6" t="s">
        <v>48</v>
      </c>
      <c r="O188" s="6" t="s">
        <v>2375</v>
      </c>
      <c r="P188" s="6" t="s">
        <v>48</v>
      </c>
      <c r="R188" s="6" t="s">
        <v>2376</v>
      </c>
      <c r="S188" s="6" t="s">
        <v>2377</v>
      </c>
      <c r="T188" s="6" t="s">
        <v>53</v>
      </c>
      <c r="U188" s="5">
        <v>42837.0</v>
      </c>
      <c r="V188" s="6" t="s">
        <v>54</v>
      </c>
      <c r="W188" s="6" t="s">
        <v>77</v>
      </c>
      <c r="X188" s="6" t="s">
        <v>102</v>
      </c>
      <c r="Y188" s="6" t="s">
        <v>78</v>
      </c>
      <c r="Z188" s="6" t="s">
        <v>2378</v>
      </c>
      <c r="AA188" s="6" t="s">
        <v>1176</v>
      </c>
      <c r="AB188" s="7" t="s">
        <v>2379</v>
      </c>
      <c r="AD188" s="7" t="s">
        <v>2380</v>
      </c>
      <c r="AE188" s="7" t="s">
        <v>2374</v>
      </c>
      <c r="AF188" s="6" t="s">
        <v>2381</v>
      </c>
      <c r="AG188" s="6" t="s">
        <v>2382</v>
      </c>
      <c r="AH188" s="10" t="str">
        <f t="shared" ref="AH188:AH189" si="32">HYPERLINK("https://drive.google.com/file/d/1uMwRl9_x3gR9D8wSHe62NMd2Ba-4-oAR/view?usp=drivesdk", "https://drive.google.com/file/d/1uMwRl9_x3gR9D8wSHe62NMd2Ba-4-oAR/view?usp=drivesdk")</f>
        <v>https://drive.google.com/file/d/1uMwRl9_x3gR9D8wSHe62NMd2Ba-4-oAR/view?usp=drivesdk</v>
      </c>
      <c r="AJ188" s="6" t="s">
        <v>2027</v>
      </c>
      <c r="AK188" s="6" t="s">
        <v>61</v>
      </c>
      <c r="AL188" s="13"/>
    </row>
    <row r="189" ht="22.5" customHeight="1">
      <c r="A189" s="4">
        <v>45847.584196145835</v>
      </c>
      <c r="B189" s="5">
        <v>44875.0</v>
      </c>
      <c r="C189" s="6" t="s">
        <v>2367</v>
      </c>
      <c r="D189" s="6" t="s">
        <v>2368</v>
      </c>
      <c r="E189" s="6" t="s">
        <v>2369</v>
      </c>
      <c r="F189" s="6" t="s">
        <v>2370</v>
      </c>
      <c r="G189" s="6" t="s">
        <v>42</v>
      </c>
      <c r="H189" s="7" t="s">
        <v>2371</v>
      </c>
      <c r="I189" s="6" t="s">
        <v>2372</v>
      </c>
      <c r="J189" s="6" t="s">
        <v>2373</v>
      </c>
      <c r="K189" s="6" t="s">
        <v>46</v>
      </c>
      <c r="L189" s="7" t="s">
        <v>2374</v>
      </c>
      <c r="M189" s="5">
        <v>45808.0</v>
      </c>
      <c r="N189" s="6" t="s">
        <v>176</v>
      </c>
      <c r="O189" s="6" t="s">
        <v>2375</v>
      </c>
      <c r="P189" s="6" t="s">
        <v>176</v>
      </c>
      <c r="R189" s="6" t="s">
        <v>2376</v>
      </c>
      <c r="S189" s="6" t="s">
        <v>2377</v>
      </c>
      <c r="T189" s="6" t="s">
        <v>53</v>
      </c>
      <c r="U189" s="5">
        <v>42837.0</v>
      </c>
      <c r="V189" s="6" t="s">
        <v>54</v>
      </c>
      <c r="W189" s="6" t="s">
        <v>77</v>
      </c>
      <c r="X189" s="6" t="s">
        <v>102</v>
      </c>
      <c r="Y189" s="6" t="s">
        <v>78</v>
      </c>
      <c r="Z189" s="6" t="s">
        <v>2378</v>
      </c>
      <c r="AA189" s="6" t="s">
        <v>1176</v>
      </c>
      <c r="AB189" s="7" t="s">
        <v>2379</v>
      </c>
      <c r="AD189" s="7" t="s">
        <v>2380</v>
      </c>
      <c r="AE189" s="7" t="s">
        <v>2374</v>
      </c>
      <c r="AF189" s="6" t="s">
        <v>2381</v>
      </c>
      <c r="AG189" s="6" t="s">
        <v>2382</v>
      </c>
      <c r="AH189" s="11" t="str">
        <f t="shared" si="32"/>
        <v>https://drive.google.com/file/d/1uMwRl9_x3gR9D8wSHe62NMd2Ba-4-oAR/view?usp=drivesdk</v>
      </c>
      <c r="AJ189" s="6" t="s">
        <v>1084</v>
      </c>
      <c r="AK189" s="6" t="s">
        <v>61</v>
      </c>
      <c r="AL189" s="13"/>
    </row>
    <row r="190" ht="22.5" customHeight="1">
      <c r="A190" s="4">
        <v>45847.58934158565</v>
      </c>
      <c r="B190" s="5">
        <v>45835.0</v>
      </c>
      <c r="C190" s="6" t="s">
        <v>2383</v>
      </c>
      <c r="D190" s="6" t="s">
        <v>2384</v>
      </c>
      <c r="E190" s="6" t="s">
        <v>2385</v>
      </c>
      <c r="F190" s="6" t="s">
        <v>2386</v>
      </c>
      <c r="G190" s="6" t="s">
        <v>2387</v>
      </c>
      <c r="H190" s="7" t="s">
        <v>2388</v>
      </c>
      <c r="I190" s="6" t="s">
        <v>2389</v>
      </c>
      <c r="J190" s="6" t="s">
        <v>2390</v>
      </c>
      <c r="K190" s="6" t="s">
        <v>91</v>
      </c>
      <c r="L190" s="7" t="s">
        <v>2391</v>
      </c>
      <c r="M190" s="5">
        <v>45808.0</v>
      </c>
      <c r="N190" s="6" t="s">
        <v>48</v>
      </c>
      <c r="O190" s="6" t="s">
        <v>2392</v>
      </c>
      <c r="P190" s="6" t="s">
        <v>48</v>
      </c>
      <c r="R190" s="6" t="s">
        <v>2393</v>
      </c>
      <c r="S190" s="6" t="s">
        <v>2394</v>
      </c>
      <c r="T190" s="6" t="s">
        <v>931</v>
      </c>
      <c r="U190" s="5">
        <v>42948.0</v>
      </c>
      <c r="V190" s="6" t="s">
        <v>54</v>
      </c>
      <c r="W190" s="6" t="s">
        <v>55</v>
      </c>
      <c r="X190" s="6" t="s">
        <v>102</v>
      </c>
      <c r="Y190" s="6" t="s">
        <v>123</v>
      </c>
      <c r="Z190" s="6" t="s">
        <v>2395</v>
      </c>
      <c r="AA190" s="6" t="s">
        <v>820</v>
      </c>
      <c r="AD190" s="7" t="s">
        <v>2391</v>
      </c>
      <c r="AE190" s="7" t="s">
        <v>2391</v>
      </c>
      <c r="AF190" s="6" t="s">
        <v>2396</v>
      </c>
      <c r="AG190" s="6" t="s">
        <v>2397</v>
      </c>
      <c r="AH190" s="10" t="str">
        <f t="shared" ref="AH190:AH191" si="33">HYPERLINK("https://drive.google.com/file/d/190mRCgZ__E8LSYEZcciNcQKSYqJ_qzM2/view?usp=drivesdk", "https://drive.google.com/file/d/190mRCgZ__E8LSYEZcciNcQKSYqJ_qzM2/view?usp=drivesdk")</f>
        <v>https://drive.google.com/file/d/190mRCgZ__E8LSYEZcciNcQKSYqJ_qzM2/view?usp=drivesdk</v>
      </c>
      <c r="AJ190" s="6" t="s">
        <v>2235</v>
      </c>
      <c r="AK190" s="6" t="s">
        <v>483</v>
      </c>
      <c r="AL190" s="13"/>
    </row>
    <row r="191" ht="22.5" customHeight="1">
      <c r="A191" s="4">
        <v>45847.591045277775</v>
      </c>
      <c r="B191" s="5">
        <v>45835.0</v>
      </c>
      <c r="C191" s="6" t="s">
        <v>2383</v>
      </c>
      <c r="D191" s="6" t="s">
        <v>2384</v>
      </c>
      <c r="E191" s="6" t="s">
        <v>2385</v>
      </c>
      <c r="F191" s="6" t="s">
        <v>2386</v>
      </c>
      <c r="G191" s="6" t="s">
        <v>2387</v>
      </c>
      <c r="H191" s="7" t="s">
        <v>2388</v>
      </c>
      <c r="I191" s="6" t="s">
        <v>2389</v>
      </c>
      <c r="J191" s="6" t="s">
        <v>2390</v>
      </c>
      <c r="K191" s="6" t="s">
        <v>91</v>
      </c>
      <c r="L191" s="7" t="s">
        <v>2391</v>
      </c>
      <c r="M191" s="5">
        <v>45808.0</v>
      </c>
      <c r="N191" s="6" t="s">
        <v>504</v>
      </c>
      <c r="O191" s="6" t="s">
        <v>2392</v>
      </c>
      <c r="P191" s="6" t="s">
        <v>504</v>
      </c>
      <c r="R191" s="6" t="s">
        <v>2393</v>
      </c>
      <c r="S191" s="6" t="s">
        <v>2394</v>
      </c>
      <c r="T191" s="6" t="s">
        <v>931</v>
      </c>
      <c r="U191" s="5">
        <v>42948.0</v>
      </c>
      <c r="V191" s="6" t="s">
        <v>54</v>
      </c>
      <c r="W191" s="6" t="s">
        <v>55</v>
      </c>
      <c r="X191" s="6" t="s">
        <v>102</v>
      </c>
      <c r="Y191" s="6" t="s">
        <v>123</v>
      </c>
      <c r="Z191" s="6" t="s">
        <v>2395</v>
      </c>
      <c r="AA191" s="6" t="s">
        <v>820</v>
      </c>
      <c r="AD191" s="7" t="s">
        <v>2391</v>
      </c>
      <c r="AE191" s="7" t="s">
        <v>2391</v>
      </c>
      <c r="AF191" s="6" t="s">
        <v>2396</v>
      </c>
      <c r="AG191" s="6" t="s">
        <v>2397</v>
      </c>
      <c r="AH191" s="11" t="str">
        <f t="shared" si="33"/>
        <v>https://drive.google.com/file/d/190mRCgZ__E8LSYEZcciNcQKSYqJ_qzM2/view?usp=drivesdk</v>
      </c>
      <c r="AJ191" s="6" t="s">
        <v>1084</v>
      </c>
      <c r="AK191" s="6" t="s">
        <v>483</v>
      </c>
      <c r="AL191" s="13"/>
    </row>
    <row r="192" ht="22.5" customHeight="1">
      <c r="A192" s="4">
        <v>45847.60587861111</v>
      </c>
      <c r="B192" s="5">
        <v>44928.0</v>
      </c>
      <c r="C192" s="6" t="s">
        <v>2398</v>
      </c>
      <c r="D192" s="6" t="s">
        <v>2399</v>
      </c>
      <c r="E192" s="6" t="s">
        <v>2400</v>
      </c>
      <c r="F192" s="6" t="s">
        <v>2401</v>
      </c>
      <c r="G192" s="6" t="s">
        <v>91</v>
      </c>
      <c r="H192" s="7" t="s">
        <v>2402</v>
      </c>
      <c r="I192" s="6" t="s">
        <v>2403</v>
      </c>
      <c r="J192" s="6" t="s">
        <v>2404</v>
      </c>
      <c r="K192" s="6" t="s">
        <v>91</v>
      </c>
      <c r="L192" s="7" t="s">
        <v>2405</v>
      </c>
      <c r="M192" s="5">
        <v>45808.0</v>
      </c>
      <c r="N192" s="6" t="s">
        <v>48</v>
      </c>
      <c r="O192" s="6" t="s">
        <v>2406</v>
      </c>
      <c r="P192" s="6" t="s">
        <v>48</v>
      </c>
      <c r="Q192" s="6" t="s">
        <v>2407</v>
      </c>
      <c r="R192" s="6" t="s">
        <v>2408</v>
      </c>
      <c r="S192" s="6" t="s">
        <v>2409</v>
      </c>
      <c r="T192" s="6" t="s">
        <v>2410</v>
      </c>
      <c r="U192" s="5">
        <v>43467.0</v>
      </c>
      <c r="V192" s="6" t="s">
        <v>54</v>
      </c>
      <c r="W192" s="6" t="s">
        <v>55</v>
      </c>
      <c r="X192" s="6" t="s">
        <v>102</v>
      </c>
      <c r="Z192" s="6" t="s">
        <v>2411</v>
      </c>
      <c r="AA192" s="6" t="s">
        <v>820</v>
      </c>
      <c r="AB192" s="6">
        <v>2.0</v>
      </c>
      <c r="AD192" s="7" t="s">
        <v>2405</v>
      </c>
      <c r="AE192" s="7" t="s">
        <v>2405</v>
      </c>
      <c r="AF192" s="6" t="s">
        <v>2412</v>
      </c>
      <c r="AG192" s="6" t="s">
        <v>2413</v>
      </c>
      <c r="AH192" s="10" t="str">
        <f t="shared" ref="AH192:AH193" si="34">HYPERLINK("https://drive.google.com/file/d/1TRJRtJiuqb6JCbs1ax9PoSiSQEIjeJXn/view?usp=drivesdk", "https://drive.google.com/file/d/1TRJRtJiuqb6JCbs1ax9PoSiSQEIjeJXn/view?usp=drivesdk")</f>
        <v>https://drive.google.com/file/d/1TRJRtJiuqb6JCbs1ax9PoSiSQEIjeJXn/view?usp=drivesdk</v>
      </c>
      <c r="AJ192" s="6" t="s">
        <v>2414</v>
      </c>
      <c r="AK192" s="6" t="s">
        <v>483</v>
      </c>
      <c r="AL192" s="13"/>
    </row>
    <row r="193" ht="22.5" customHeight="1">
      <c r="A193" s="4">
        <v>45847.60592915509</v>
      </c>
      <c r="B193" s="5">
        <v>44928.0</v>
      </c>
      <c r="C193" s="6" t="s">
        <v>2398</v>
      </c>
      <c r="D193" s="6" t="s">
        <v>2399</v>
      </c>
      <c r="E193" s="6" t="s">
        <v>2400</v>
      </c>
      <c r="F193" s="6" t="s">
        <v>2401</v>
      </c>
      <c r="G193" s="6" t="s">
        <v>91</v>
      </c>
      <c r="H193" s="7" t="s">
        <v>2402</v>
      </c>
      <c r="I193" s="6" t="s">
        <v>2403</v>
      </c>
      <c r="J193" s="6" t="s">
        <v>2404</v>
      </c>
      <c r="K193" s="6" t="s">
        <v>91</v>
      </c>
      <c r="L193" s="7" t="s">
        <v>2405</v>
      </c>
      <c r="M193" s="5">
        <v>45808.0</v>
      </c>
      <c r="N193" s="6" t="s">
        <v>504</v>
      </c>
      <c r="O193" s="6" t="s">
        <v>2406</v>
      </c>
      <c r="P193" s="6" t="s">
        <v>504</v>
      </c>
      <c r="Q193" s="6" t="s">
        <v>2407</v>
      </c>
      <c r="R193" s="6" t="s">
        <v>2408</v>
      </c>
      <c r="S193" s="6" t="s">
        <v>2409</v>
      </c>
      <c r="T193" s="6" t="s">
        <v>2410</v>
      </c>
      <c r="U193" s="5">
        <v>43467.0</v>
      </c>
      <c r="V193" s="6" t="s">
        <v>54</v>
      </c>
      <c r="W193" s="6" t="s">
        <v>55</v>
      </c>
      <c r="X193" s="6" t="s">
        <v>102</v>
      </c>
      <c r="Z193" s="6" t="s">
        <v>2411</v>
      </c>
      <c r="AA193" s="6" t="s">
        <v>820</v>
      </c>
      <c r="AB193" s="6">
        <v>2.0</v>
      </c>
      <c r="AD193" s="7" t="s">
        <v>2405</v>
      </c>
      <c r="AE193" s="7" t="s">
        <v>2405</v>
      </c>
      <c r="AF193" s="6" t="s">
        <v>2412</v>
      </c>
      <c r="AG193" s="6" t="s">
        <v>2413</v>
      </c>
      <c r="AH193" s="11" t="str">
        <f t="shared" si="34"/>
        <v>https://drive.google.com/file/d/1TRJRtJiuqb6JCbs1ax9PoSiSQEIjeJXn/view?usp=drivesdk</v>
      </c>
      <c r="AJ193" s="6" t="s">
        <v>2415</v>
      </c>
      <c r="AK193" s="6" t="s">
        <v>483</v>
      </c>
      <c r="AL193" s="13"/>
    </row>
    <row r="194" ht="22.5" customHeight="1">
      <c r="A194" s="4">
        <v>45847.60795871528</v>
      </c>
      <c r="B194" s="5">
        <v>45835.0</v>
      </c>
      <c r="C194" s="6" t="s">
        <v>2416</v>
      </c>
      <c r="D194" s="6" t="s">
        <v>2417</v>
      </c>
      <c r="E194" s="6" t="s">
        <v>2418</v>
      </c>
      <c r="F194" s="6" t="s">
        <v>2419</v>
      </c>
      <c r="G194" s="6" t="s">
        <v>42</v>
      </c>
      <c r="H194" s="7" t="s">
        <v>2420</v>
      </c>
      <c r="I194" s="6" t="s">
        <v>2421</v>
      </c>
      <c r="J194" s="6" t="s">
        <v>2422</v>
      </c>
      <c r="K194" s="6" t="s">
        <v>2423</v>
      </c>
      <c r="L194" s="7" t="s">
        <v>2424</v>
      </c>
      <c r="M194" s="5">
        <v>45808.0</v>
      </c>
      <c r="N194" s="6" t="s">
        <v>48</v>
      </c>
      <c r="O194" s="6" t="s">
        <v>2425</v>
      </c>
      <c r="P194" s="6" t="s">
        <v>48</v>
      </c>
      <c r="Q194" s="6" t="s">
        <v>2426</v>
      </c>
      <c r="R194" s="6" t="s">
        <v>2427</v>
      </c>
      <c r="S194" s="6" t="s">
        <v>2428</v>
      </c>
      <c r="T194" s="6" t="s">
        <v>477</v>
      </c>
      <c r="U194" s="5">
        <v>42541.0</v>
      </c>
      <c r="V194" s="6" t="s">
        <v>54</v>
      </c>
      <c r="W194" s="6" t="s">
        <v>55</v>
      </c>
      <c r="X194" s="6" t="s">
        <v>102</v>
      </c>
      <c r="Y194" s="6" t="s">
        <v>78</v>
      </c>
      <c r="Z194" s="6" t="s">
        <v>2429</v>
      </c>
      <c r="AA194" s="6" t="s">
        <v>672</v>
      </c>
      <c r="AB194" s="7" t="s">
        <v>1126</v>
      </c>
      <c r="AD194" s="7" t="s">
        <v>2430</v>
      </c>
      <c r="AE194" s="7" t="s">
        <v>2420</v>
      </c>
      <c r="AF194" s="6" t="s">
        <v>2431</v>
      </c>
      <c r="AH194" s="10" t="str">
        <f t="shared" ref="AH194:AH195" si="35">HYPERLINK("https://drive.google.com/file/d/196R9OR1gv0FCbD8PLqsrD4keTYQ_-iKs/view?usp=drivesdk", "https://drive.google.com/file/d/196R9OR1gv0FCbD8PLqsrD4keTYQ_-iKs/view?usp=drivesdk")</f>
        <v>https://drive.google.com/file/d/196R9OR1gv0FCbD8PLqsrD4keTYQ_-iKs/view?usp=drivesdk</v>
      </c>
      <c r="AJ194" s="6" t="s">
        <v>2432</v>
      </c>
      <c r="AK194" s="6" t="s">
        <v>61</v>
      </c>
      <c r="AL194" s="13"/>
    </row>
    <row r="195" ht="22.5" customHeight="1">
      <c r="A195" s="4">
        <v>45847.60800384259</v>
      </c>
      <c r="B195" s="5">
        <v>45835.0</v>
      </c>
      <c r="C195" s="6" t="s">
        <v>2416</v>
      </c>
      <c r="D195" s="6" t="s">
        <v>2417</v>
      </c>
      <c r="E195" s="6" t="s">
        <v>2418</v>
      </c>
      <c r="F195" s="6" t="s">
        <v>2419</v>
      </c>
      <c r="G195" s="6" t="s">
        <v>42</v>
      </c>
      <c r="H195" s="7" t="s">
        <v>2420</v>
      </c>
      <c r="I195" s="6" t="s">
        <v>2421</v>
      </c>
      <c r="J195" s="6" t="s">
        <v>2422</v>
      </c>
      <c r="K195" s="6" t="s">
        <v>2423</v>
      </c>
      <c r="L195" s="7" t="s">
        <v>2424</v>
      </c>
      <c r="M195" s="5">
        <v>45808.0</v>
      </c>
      <c r="N195" s="6" t="s">
        <v>504</v>
      </c>
      <c r="O195" s="6" t="s">
        <v>2425</v>
      </c>
      <c r="P195" s="6" t="s">
        <v>504</v>
      </c>
      <c r="Q195" s="6" t="s">
        <v>2426</v>
      </c>
      <c r="R195" s="6" t="s">
        <v>2427</v>
      </c>
      <c r="S195" s="6" t="s">
        <v>2428</v>
      </c>
      <c r="T195" s="6" t="s">
        <v>477</v>
      </c>
      <c r="U195" s="5">
        <v>42541.0</v>
      </c>
      <c r="V195" s="6" t="s">
        <v>54</v>
      </c>
      <c r="W195" s="6" t="s">
        <v>55</v>
      </c>
      <c r="X195" s="6" t="s">
        <v>102</v>
      </c>
      <c r="Y195" s="6" t="s">
        <v>78</v>
      </c>
      <c r="Z195" s="6" t="s">
        <v>2429</v>
      </c>
      <c r="AA195" s="6" t="s">
        <v>672</v>
      </c>
      <c r="AB195" s="7" t="s">
        <v>1126</v>
      </c>
      <c r="AD195" s="7" t="s">
        <v>2430</v>
      </c>
      <c r="AE195" s="7" t="s">
        <v>2420</v>
      </c>
      <c r="AF195" s="6" t="s">
        <v>2431</v>
      </c>
      <c r="AH195" s="11" t="str">
        <f t="shared" si="35"/>
        <v>https://drive.google.com/file/d/196R9OR1gv0FCbD8PLqsrD4keTYQ_-iKs/view?usp=drivesdk</v>
      </c>
      <c r="AJ195" s="6" t="s">
        <v>1084</v>
      </c>
      <c r="AK195" s="6" t="s">
        <v>61</v>
      </c>
      <c r="AL195" s="13"/>
    </row>
    <row r="196" ht="22.5" customHeight="1">
      <c r="A196" s="4">
        <v>45847.61632758102</v>
      </c>
      <c r="B196" s="5">
        <v>43093.0</v>
      </c>
      <c r="C196" s="6" t="s">
        <v>2433</v>
      </c>
      <c r="D196" s="6" t="s">
        <v>2434</v>
      </c>
      <c r="E196" s="6" t="s">
        <v>2435</v>
      </c>
      <c r="F196" s="6" t="s">
        <v>2436</v>
      </c>
      <c r="G196" s="6" t="s">
        <v>42</v>
      </c>
      <c r="H196" s="7" t="s">
        <v>2437</v>
      </c>
      <c r="I196" s="6" t="s">
        <v>2438</v>
      </c>
      <c r="J196" s="6" t="s">
        <v>2439</v>
      </c>
      <c r="K196" s="6" t="s">
        <v>46</v>
      </c>
      <c r="L196" s="7" t="s">
        <v>2440</v>
      </c>
      <c r="M196" s="5">
        <v>45808.0</v>
      </c>
      <c r="N196" s="6" t="s">
        <v>48</v>
      </c>
      <c r="O196" s="6" t="s">
        <v>2441</v>
      </c>
      <c r="P196" s="6" t="s">
        <v>48</v>
      </c>
      <c r="Q196" s="6" t="s">
        <v>2442</v>
      </c>
      <c r="R196" s="6" t="s">
        <v>2443</v>
      </c>
      <c r="S196" s="6" t="s">
        <v>2444</v>
      </c>
      <c r="T196" s="6" t="s">
        <v>340</v>
      </c>
      <c r="U196" s="5">
        <v>43093.0</v>
      </c>
      <c r="V196" s="6" t="s">
        <v>54</v>
      </c>
      <c r="W196" s="6" t="s">
        <v>77</v>
      </c>
      <c r="X196" s="6" t="s">
        <v>102</v>
      </c>
      <c r="Y196" s="6" t="s">
        <v>160</v>
      </c>
      <c r="Z196" s="6" t="s">
        <v>2445</v>
      </c>
      <c r="AA196" s="6" t="s">
        <v>820</v>
      </c>
      <c r="AD196" s="7" t="s">
        <v>2440</v>
      </c>
      <c r="AE196" s="6">
        <v>1.934309989E9</v>
      </c>
      <c r="AH196" s="10" t="str">
        <f>HYPERLINK("https://drive.google.com/file/d/1g8UBiSYDCx4Gvp8-FfhFHHDr0vYovx_w/view?usp=drivesdk", "https://drive.google.com/file/d/1g8UBiSYDCx4Gvp8-FfhFHHDr0vYovx_w/view?usp=drivesdk")</f>
        <v>https://drive.google.com/file/d/1g8UBiSYDCx4Gvp8-FfhFHHDr0vYovx_w/view?usp=drivesdk</v>
      </c>
      <c r="AK196" s="6" t="s">
        <v>61</v>
      </c>
      <c r="AL196" s="13"/>
    </row>
    <row r="197" ht="22.5" customHeight="1">
      <c r="A197" s="4">
        <v>45847.61632850695</v>
      </c>
      <c r="B197" s="5">
        <v>45556.0</v>
      </c>
      <c r="C197" s="6" t="s">
        <v>2446</v>
      </c>
      <c r="D197" s="6" t="s">
        <v>2447</v>
      </c>
      <c r="E197" s="6" t="s">
        <v>2448</v>
      </c>
      <c r="F197" s="6" t="s">
        <v>2449</v>
      </c>
      <c r="G197" s="6" t="s">
        <v>332</v>
      </c>
      <c r="H197" s="7" t="s">
        <v>2450</v>
      </c>
      <c r="I197" s="6" t="s">
        <v>2451</v>
      </c>
      <c r="J197" s="6" t="s">
        <v>2452</v>
      </c>
      <c r="K197" s="6" t="s">
        <v>332</v>
      </c>
      <c r="L197" s="7" t="s">
        <v>2453</v>
      </c>
      <c r="M197" s="5">
        <v>45808.0</v>
      </c>
      <c r="N197" s="6" t="s">
        <v>48</v>
      </c>
      <c r="O197" s="6" t="s">
        <v>2454</v>
      </c>
      <c r="P197" s="6" t="s">
        <v>48</v>
      </c>
      <c r="R197" s="6" t="s">
        <v>2455</v>
      </c>
      <c r="S197" s="6" t="s">
        <v>2455</v>
      </c>
      <c r="T197" s="6" t="s">
        <v>2456</v>
      </c>
      <c r="U197" s="5">
        <v>42982.0</v>
      </c>
      <c r="V197" s="6" t="s">
        <v>54</v>
      </c>
      <c r="W197" s="6" t="s">
        <v>77</v>
      </c>
      <c r="X197" s="6" t="s">
        <v>102</v>
      </c>
      <c r="Z197" s="6" t="s">
        <v>498</v>
      </c>
      <c r="AA197" s="6" t="s">
        <v>820</v>
      </c>
      <c r="AB197" s="6">
        <v>1.0</v>
      </c>
      <c r="AD197" s="7" t="s">
        <v>2453</v>
      </c>
      <c r="AE197" s="7" t="s">
        <v>2453</v>
      </c>
      <c r="AF197" s="6" t="s">
        <v>2457</v>
      </c>
      <c r="AH197" s="8" t="str">
        <f>HYPERLINK("https://drive.google.com/file/d/14XksoId-cYffZjGcLct4QewJWU7TopbU/view?usp=drivesdk", "https://drive.google.com/file/d/14XksoId-cYffZjGcLct4QewJWU7TopbU/view?usp=drivesdk")</f>
        <v>https://drive.google.com/file/d/14XksoId-cYffZjGcLct4QewJWU7TopbU/view?usp=drivesdk</v>
      </c>
      <c r="AK197" s="6" t="s">
        <v>483</v>
      </c>
      <c r="AL197" s="16"/>
    </row>
    <row r="198" ht="22.5" customHeight="1">
      <c r="A198" s="4">
        <v>45847.61642875</v>
      </c>
      <c r="B198" s="5">
        <v>45835.0</v>
      </c>
      <c r="C198" s="6" t="s">
        <v>2458</v>
      </c>
      <c r="D198" s="6" t="s">
        <v>2459</v>
      </c>
      <c r="E198" s="6" t="s">
        <v>2435</v>
      </c>
      <c r="F198" s="6" t="s">
        <v>2436</v>
      </c>
      <c r="G198" s="6" t="s">
        <v>42</v>
      </c>
      <c r="H198" s="7" t="s">
        <v>2437</v>
      </c>
      <c r="I198" s="6" t="s">
        <v>2438</v>
      </c>
      <c r="J198" s="6" t="s">
        <v>2439</v>
      </c>
      <c r="K198" s="6" t="s">
        <v>46</v>
      </c>
      <c r="L198" s="7" t="s">
        <v>2440</v>
      </c>
      <c r="M198" s="5">
        <v>45808.0</v>
      </c>
      <c r="N198" s="6" t="s">
        <v>48</v>
      </c>
      <c r="O198" s="6" t="s">
        <v>2460</v>
      </c>
      <c r="P198" s="6" t="s">
        <v>48</v>
      </c>
      <c r="Q198" s="6" t="s">
        <v>2461</v>
      </c>
      <c r="R198" s="6" t="s">
        <v>2443</v>
      </c>
      <c r="S198" s="6" t="s">
        <v>2444</v>
      </c>
      <c r="T198" s="6" t="s">
        <v>340</v>
      </c>
      <c r="U198" s="5">
        <v>44188.0</v>
      </c>
      <c r="V198" s="6" t="s">
        <v>54</v>
      </c>
      <c r="W198" s="6" t="s">
        <v>55</v>
      </c>
      <c r="X198" s="6" t="s">
        <v>102</v>
      </c>
      <c r="Y198" s="6" t="s">
        <v>160</v>
      </c>
      <c r="Z198" s="6" t="s">
        <v>2128</v>
      </c>
      <c r="AD198" s="7" t="s">
        <v>2440</v>
      </c>
      <c r="AE198" s="7" t="s">
        <v>2440</v>
      </c>
      <c r="AH198" s="10" t="str">
        <f>HYPERLINK("https://drive.google.com/file/d/19pMKMDWVIzvPQaq_hDZLvAOENJ2pMhE_/view?usp=drivesdk", "https://drive.google.com/file/d/19pMKMDWVIzvPQaq_hDZLvAOENJ2pMhE_/view?usp=drivesdk")</f>
        <v>https://drive.google.com/file/d/19pMKMDWVIzvPQaq_hDZLvAOENJ2pMhE_/view?usp=drivesdk</v>
      </c>
      <c r="AK198" s="6" t="s">
        <v>61</v>
      </c>
      <c r="AL198" s="13"/>
    </row>
    <row r="199" ht="22.5" customHeight="1">
      <c r="A199" s="4">
        <v>45847.62291344907</v>
      </c>
      <c r="B199" s="5">
        <v>45413.0</v>
      </c>
      <c r="C199" s="6" t="s">
        <v>2462</v>
      </c>
      <c r="D199" s="6" t="s">
        <v>2463</v>
      </c>
      <c r="E199" s="6" t="s">
        <v>2464</v>
      </c>
      <c r="F199" s="6" t="s">
        <v>2465</v>
      </c>
      <c r="G199" s="6" t="s">
        <v>66</v>
      </c>
      <c r="H199" s="7" t="s">
        <v>2466</v>
      </c>
      <c r="I199" s="6" t="s">
        <v>2467</v>
      </c>
      <c r="J199" s="6" t="s">
        <v>2468</v>
      </c>
      <c r="K199" s="6" t="s">
        <v>46</v>
      </c>
      <c r="L199" s="7" t="s">
        <v>2469</v>
      </c>
      <c r="M199" s="5">
        <v>45808.0</v>
      </c>
      <c r="N199" s="6" t="s">
        <v>48</v>
      </c>
      <c r="O199" s="6" t="s">
        <v>2470</v>
      </c>
      <c r="P199" s="6" t="s">
        <v>48</v>
      </c>
      <c r="Q199" s="6" t="s">
        <v>2471</v>
      </c>
      <c r="R199" s="6" t="s">
        <v>2472</v>
      </c>
      <c r="S199" s="6" t="s">
        <v>2473</v>
      </c>
      <c r="T199" s="6" t="s">
        <v>2474</v>
      </c>
      <c r="U199" s="5">
        <v>42366.0</v>
      </c>
      <c r="V199" s="6" t="s">
        <v>54</v>
      </c>
      <c r="W199" s="6" t="s">
        <v>55</v>
      </c>
      <c r="X199" s="6" t="s">
        <v>102</v>
      </c>
      <c r="Z199" s="6" t="s">
        <v>1729</v>
      </c>
      <c r="AA199" s="6" t="s">
        <v>2475</v>
      </c>
      <c r="AB199" s="6">
        <v>39.0</v>
      </c>
      <c r="AD199" s="7" t="s">
        <v>2469</v>
      </c>
      <c r="AE199" s="7" t="s">
        <v>2469</v>
      </c>
      <c r="AH199" s="11" t="str">
        <f>HYPERLINK("https://drive.google.com/file/d/1pNjksaAqnW-QitdKSZFAehUwI7PnGpIv/view?usp=drivesdk", "https://drive.google.com/file/d/1pNjksaAqnW-QitdKSZFAehUwI7PnGpIv/view?usp=drivesdk")</f>
        <v>https://drive.google.com/file/d/1pNjksaAqnW-QitdKSZFAehUwI7PnGpIv/view?usp=drivesdk</v>
      </c>
      <c r="AJ199" s="6" t="s">
        <v>1428</v>
      </c>
      <c r="AK199" s="6" t="s">
        <v>61</v>
      </c>
      <c r="AL199" s="13"/>
    </row>
    <row r="200" ht="22.5" customHeight="1">
      <c r="A200" s="4">
        <v>45847.6392445949</v>
      </c>
      <c r="B200" s="5">
        <v>45413.0</v>
      </c>
      <c r="C200" s="6" t="s">
        <v>2476</v>
      </c>
      <c r="D200" s="6" t="s">
        <v>2477</v>
      </c>
      <c r="E200" s="6" t="s">
        <v>2478</v>
      </c>
      <c r="F200" s="6" t="s">
        <v>2479</v>
      </c>
      <c r="G200" s="6" t="s">
        <v>42</v>
      </c>
      <c r="H200" s="7" t="s">
        <v>2480</v>
      </c>
      <c r="I200" s="6" t="s">
        <v>2481</v>
      </c>
      <c r="J200" s="6" t="s">
        <v>2482</v>
      </c>
      <c r="K200" s="6" t="s">
        <v>42</v>
      </c>
      <c r="L200" s="7" t="s">
        <v>2483</v>
      </c>
      <c r="M200" s="5">
        <v>45808.0</v>
      </c>
      <c r="N200" s="6" t="s">
        <v>48</v>
      </c>
      <c r="O200" s="6" t="s">
        <v>2484</v>
      </c>
      <c r="P200" s="6" t="s">
        <v>48</v>
      </c>
      <c r="Q200" s="6" t="s">
        <v>2485</v>
      </c>
      <c r="R200" s="6" t="s">
        <v>2486</v>
      </c>
      <c r="S200" s="6" t="s">
        <v>2487</v>
      </c>
      <c r="T200" s="6" t="s">
        <v>2488</v>
      </c>
      <c r="U200" s="5">
        <v>41648.0</v>
      </c>
      <c r="V200" s="6" t="s">
        <v>54</v>
      </c>
      <c r="W200" s="6" t="s">
        <v>77</v>
      </c>
      <c r="X200" s="6" t="s">
        <v>102</v>
      </c>
      <c r="Y200" s="6" t="s">
        <v>78</v>
      </c>
      <c r="Z200" s="6" t="s">
        <v>2489</v>
      </c>
      <c r="AA200" s="6">
        <v>6.0</v>
      </c>
      <c r="AB200" s="6">
        <v>7.0</v>
      </c>
      <c r="AD200" s="7" t="s">
        <v>2490</v>
      </c>
      <c r="AE200" s="7" t="s">
        <v>2480</v>
      </c>
      <c r="AF200" s="6" t="s">
        <v>2491</v>
      </c>
      <c r="AG200" s="6" t="s">
        <v>2492</v>
      </c>
      <c r="AH200" s="10" t="str">
        <f>HYPERLINK("https://drive.google.com/file/d/1HDp2tavnydywkwEuoLq5lfIQbctiHzQq/view?usp=drivesdk", "https://drive.google.com/file/d/1HDp2tavnydywkwEuoLq5lfIQbctiHzQq/view?usp=drivesdk")</f>
        <v>https://drive.google.com/file/d/1HDp2tavnydywkwEuoLq5lfIQbctiHzQq/view?usp=drivesdk</v>
      </c>
      <c r="AJ200" s="6" t="s">
        <v>585</v>
      </c>
      <c r="AK200" s="6" t="s">
        <v>61</v>
      </c>
      <c r="AL200" s="13"/>
    </row>
    <row r="201" ht="22.5" customHeight="1">
      <c r="A201" s="4">
        <v>45847.64230212963</v>
      </c>
      <c r="B201" s="5">
        <v>44168.0</v>
      </c>
      <c r="C201" s="6" t="s">
        <v>2493</v>
      </c>
      <c r="D201" s="6" t="s">
        <v>2494</v>
      </c>
      <c r="E201" s="6" t="s">
        <v>2495</v>
      </c>
      <c r="F201" s="6" t="s">
        <v>2496</v>
      </c>
      <c r="G201" s="6" t="s">
        <v>332</v>
      </c>
      <c r="H201" s="7" t="s">
        <v>2497</v>
      </c>
      <c r="I201" s="6" t="s">
        <v>2498</v>
      </c>
      <c r="J201" s="6" t="s">
        <v>2499</v>
      </c>
      <c r="K201" s="6" t="s">
        <v>91</v>
      </c>
      <c r="L201" s="7" t="s">
        <v>2500</v>
      </c>
      <c r="M201" s="5">
        <v>45808.0</v>
      </c>
      <c r="N201" s="6" t="s">
        <v>48</v>
      </c>
      <c r="O201" s="6" t="s">
        <v>2501</v>
      </c>
      <c r="P201" s="6" t="s">
        <v>48</v>
      </c>
      <c r="Q201" s="6" t="s">
        <v>2502</v>
      </c>
      <c r="R201" s="6" t="s">
        <v>2503</v>
      </c>
      <c r="S201" s="6" t="s">
        <v>2504</v>
      </c>
      <c r="T201" s="6" t="s">
        <v>2505</v>
      </c>
      <c r="U201" s="5">
        <v>41297.0</v>
      </c>
      <c r="V201" s="6" t="s">
        <v>54</v>
      </c>
      <c r="W201" s="6" t="s">
        <v>77</v>
      </c>
      <c r="X201" s="6" t="s">
        <v>102</v>
      </c>
      <c r="Y201" s="6" t="s">
        <v>123</v>
      </c>
      <c r="Z201" s="6" t="s">
        <v>2506</v>
      </c>
      <c r="AA201" s="6" t="s">
        <v>324</v>
      </c>
      <c r="AB201" s="6">
        <v>28.0</v>
      </c>
      <c r="AD201" s="7" t="s">
        <v>2497</v>
      </c>
      <c r="AE201" s="7" t="s">
        <v>2500</v>
      </c>
      <c r="AF201" s="6" t="s">
        <v>2507</v>
      </c>
      <c r="AG201" s="6" t="s">
        <v>2508</v>
      </c>
      <c r="AH201" s="11" t="str">
        <f>HYPERLINK("https://drive.google.com/file/d/1VJqx7o-GytpTPNgSMevUnQVnrS5MGwIM/view?usp=drivesdk", "https://drive.google.com/file/d/1VJqx7o-GytpTPNgSMevUnQVnrS5MGwIM/view?usp=drivesdk")</f>
        <v>https://drive.google.com/file/d/1VJqx7o-GytpTPNgSMevUnQVnrS5MGwIM/view?usp=drivesdk</v>
      </c>
      <c r="AK201" s="6" t="s">
        <v>483</v>
      </c>
      <c r="AL201" s="13"/>
    </row>
    <row r="202" ht="22.5" customHeight="1">
      <c r="A202" s="4">
        <v>45847.64707651621</v>
      </c>
      <c r="B202" s="5">
        <v>44896.0</v>
      </c>
      <c r="C202" s="6" t="s">
        <v>2509</v>
      </c>
      <c r="D202" s="6" t="s">
        <v>2510</v>
      </c>
      <c r="E202" s="6" t="s">
        <v>2511</v>
      </c>
      <c r="F202" s="6" t="s">
        <v>2512</v>
      </c>
      <c r="G202" s="6" t="s">
        <v>46</v>
      </c>
      <c r="H202" s="7" t="s">
        <v>2513</v>
      </c>
      <c r="I202" s="6" t="s">
        <v>2514</v>
      </c>
      <c r="J202" s="6" t="s">
        <v>2515</v>
      </c>
      <c r="K202" s="6" t="s">
        <v>46</v>
      </c>
      <c r="L202" s="7" t="s">
        <v>2516</v>
      </c>
      <c r="M202" s="5">
        <v>45808.0</v>
      </c>
      <c r="N202" s="6" t="s">
        <v>504</v>
      </c>
      <c r="O202" s="6" t="s">
        <v>2517</v>
      </c>
      <c r="P202" s="6" t="s">
        <v>504</v>
      </c>
      <c r="Q202" s="6" t="s">
        <v>2518</v>
      </c>
      <c r="R202" s="6" t="s">
        <v>2519</v>
      </c>
      <c r="S202" s="6" t="s">
        <v>2519</v>
      </c>
      <c r="T202" s="6" t="s">
        <v>1333</v>
      </c>
      <c r="U202" s="5">
        <v>43008.0</v>
      </c>
      <c r="V202" s="6" t="s">
        <v>54</v>
      </c>
      <c r="W202" s="6" t="s">
        <v>55</v>
      </c>
      <c r="X202" s="6" t="s">
        <v>102</v>
      </c>
      <c r="Y202" s="6" t="s">
        <v>78</v>
      </c>
      <c r="Z202" s="6" t="s">
        <v>1729</v>
      </c>
      <c r="AA202" s="6" t="s">
        <v>900</v>
      </c>
      <c r="AB202" s="6">
        <v>10.0</v>
      </c>
      <c r="AD202" s="7" t="s">
        <v>2516</v>
      </c>
      <c r="AE202" s="7" t="s">
        <v>2516</v>
      </c>
      <c r="AH202" s="10" t="str">
        <f>HYPERLINK("https://drive.google.com/file/d/1YxB3EirCCzgeBBZo445h2KxWyPQQnwNC/view?usp=drivesdk", "https://drive.google.com/file/d/1YxB3EirCCzgeBBZo445h2KxWyPQQnwNC/view?usp=drivesdk")</f>
        <v>https://drive.google.com/file/d/1YxB3EirCCzgeBBZo445h2KxWyPQQnwNC/view?usp=drivesdk</v>
      </c>
      <c r="AJ202" s="6" t="s">
        <v>2520</v>
      </c>
      <c r="AK202" s="6" t="s">
        <v>61</v>
      </c>
      <c r="AL202" s="13"/>
    </row>
    <row r="203" ht="22.5" customHeight="1">
      <c r="A203" s="4">
        <v>45847.65184443287</v>
      </c>
      <c r="B203" s="5">
        <v>45086.0</v>
      </c>
      <c r="C203" s="6" t="s">
        <v>2521</v>
      </c>
      <c r="D203" s="6" t="s">
        <v>2522</v>
      </c>
      <c r="E203" s="6" t="s">
        <v>2238</v>
      </c>
      <c r="F203" s="6" t="s">
        <v>2523</v>
      </c>
      <c r="G203" s="6" t="s">
        <v>2524</v>
      </c>
      <c r="H203" s="7" t="s">
        <v>2241</v>
      </c>
      <c r="I203" s="6" t="s">
        <v>2525</v>
      </c>
      <c r="J203" s="6" t="s">
        <v>2526</v>
      </c>
      <c r="K203" s="6" t="s">
        <v>2524</v>
      </c>
      <c r="L203" s="7" t="s">
        <v>2244</v>
      </c>
      <c r="M203" s="5">
        <v>45808.0</v>
      </c>
      <c r="N203" s="6" t="s">
        <v>48</v>
      </c>
      <c r="O203" s="6" t="s">
        <v>2527</v>
      </c>
      <c r="P203" s="6" t="s">
        <v>48</v>
      </c>
      <c r="Q203" s="6" t="s">
        <v>2528</v>
      </c>
      <c r="R203" s="6" t="s">
        <v>2529</v>
      </c>
      <c r="S203" s="6" t="s">
        <v>2530</v>
      </c>
      <c r="T203" s="6" t="s">
        <v>802</v>
      </c>
      <c r="U203" s="5">
        <v>42293.0</v>
      </c>
      <c r="V203" s="6" t="s">
        <v>54</v>
      </c>
      <c r="W203" s="6" t="s">
        <v>77</v>
      </c>
      <c r="X203" s="6" t="s">
        <v>102</v>
      </c>
      <c r="Y203" s="6" t="s">
        <v>160</v>
      </c>
      <c r="Z203" s="6" t="s">
        <v>2531</v>
      </c>
      <c r="AA203" s="6" t="s">
        <v>2475</v>
      </c>
      <c r="AB203" s="7" t="s">
        <v>306</v>
      </c>
      <c r="AD203" s="7" t="s">
        <v>2241</v>
      </c>
      <c r="AE203" s="7" t="s">
        <v>2241</v>
      </c>
      <c r="AH203" s="11" t="str">
        <f>HYPERLINK("https://drive.google.com/file/d/1NlSnVOVGliEMbuq5fPY6pNZxHnfvwI5G/view?usp=drivesdk", "https://drive.google.com/file/d/1NlSnVOVGliEMbuq5fPY6pNZxHnfvwI5G/view?usp=drivesdk")</f>
        <v>https://drive.google.com/file/d/1NlSnVOVGliEMbuq5fPY6pNZxHnfvwI5G/view?usp=drivesdk</v>
      </c>
      <c r="AK203" s="6" t="s">
        <v>61</v>
      </c>
      <c r="AL203" s="13"/>
    </row>
    <row r="204" ht="22.5" customHeight="1">
      <c r="A204" s="4">
        <v>45847.65876572917</v>
      </c>
      <c r="B204" s="5">
        <v>45835.0</v>
      </c>
      <c r="C204" s="6" t="s">
        <v>2532</v>
      </c>
      <c r="D204" s="6" t="s">
        <v>2533</v>
      </c>
      <c r="E204" s="6" t="s">
        <v>2534</v>
      </c>
      <c r="F204" s="6" t="s">
        <v>2535</v>
      </c>
      <c r="G204" s="6" t="s">
        <v>1040</v>
      </c>
      <c r="H204" s="7" t="s">
        <v>2536</v>
      </c>
      <c r="I204" s="6" t="s">
        <v>2537</v>
      </c>
      <c r="J204" s="6" t="s">
        <v>2538</v>
      </c>
      <c r="K204" s="6" t="s">
        <v>749</v>
      </c>
      <c r="L204" s="7" t="s">
        <v>2539</v>
      </c>
      <c r="M204" s="5">
        <v>45808.0</v>
      </c>
      <c r="N204" s="6" t="s">
        <v>48</v>
      </c>
      <c r="O204" s="6" t="s">
        <v>2540</v>
      </c>
      <c r="P204" s="6" t="s">
        <v>48</v>
      </c>
      <c r="R204" s="6" t="s">
        <v>2541</v>
      </c>
      <c r="S204" s="6" t="s">
        <v>2542</v>
      </c>
      <c r="T204" s="6" t="s">
        <v>802</v>
      </c>
      <c r="U204" s="5">
        <v>42457.0</v>
      </c>
      <c r="V204" s="6" t="s">
        <v>54</v>
      </c>
      <c r="W204" s="6" t="s">
        <v>55</v>
      </c>
      <c r="X204" s="6" t="s">
        <v>102</v>
      </c>
      <c r="Y204" s="6" t="s">
        <v>123</v>
      </c>
      <c r="Z204" s="6" t="s">
        <v>2543</v>
      </c>
      <c r="AA204" s="6" t="s">
        <v>672</v>
      </c>
      <c r="AB204" s="7" t="s">
        <v>2379</v>
      </c>
      <c r="AD204" s="7" t="s">
        <v>2539</v>
      </c>
      <c r="AE204" s="7" t="s">
        <v>2539</v>
      </c>
      <c r="AF204" s="6" t="s">
        <v>2544</v>
      </c>
      <c r="AG204" s="6" t="s">
        <v>2545</v>
      </c>
      <c r="AH204" s="10" t="str">
        <f>HYPERLINK("https://drive.google.com/file/d/1bY_txrKzlLkiBrOliSqRcKf8s1DAfnk5/view?usp=drivesdk", "https://drive.google.com/file/d/1bY_txrKzlLkiBrOliSqRcKf8s1DAfnk5/view?usp=drivesdk")</f>
        <v>https://drive.google.com/file/d/1bY_txrKzlLkiBrOliSqRcKf8s1DAfnk5/view?usp=drivesdk</v>
      </c>
      <c r="AJ204" s="6" t="s">
        <v>2546</v>
      </c>
      <c r="AK204" s="6" t="s">
        <v>61</v>
      </c>
      <c r="AL204" s="13"/>
    </row>
    <row r="205" ht="22.5" customHeight="1">
      <c r="A205" s="4">
        <v>45847.66311736111</v>
      </c>
      <c r="B205" s="5">
        <v>45835.0</v>
      </c>
      <c r="C205" s="6" t="s">
        <v>2547</v>
      </c>
      <c r="D205" s="6" t="s">
        <v>2548</v>
      </c>
      <c r="E205" s="6" t="s">
        <v>2549</v>
      </c>
      <c r="F205" s="6" t="s">
        <v>2550</v>
      </c>
      <c r="G205" s="6" t="s">
        <v>150</v>
      </c>
      <c r="H205" s="7" t="s">
        <v>2551</v>
      </c>
      <c r="I205" s="6" t="s">
        <v>969</v>
      </c>
      <c r="J205" s="6" t="s">
        <v>2552</v>
      </c>
      <c r="K205" s="6" t="s">
        <v>336</v>
      </c>
      <c r="L205" s="7" t="s">
        <v>2553</v>
      </c>
      <c r="M205" s="5">
        <v>45808.0</v>
      </c>
      <c r="N205" s="6" t="s">
        <v>48</v>
      </c>
      <c r="O205" s="6" t="s">
        <v>2554</v>
      </c>
      <c r="P205" s="6" t="s">
        <v>48</v>
      </c>
      <c r="Q205" s="6" t="s">
        <v>2555</v>
      </c>
      <c r="R205" s="6" t="s">
        <v>2556</v>
      </c>
      <c r="S205" s="6" t="s">
        <v>2557</v>
      </c>
      <c r="T205" s="6" t="s">
        <v>2160</v>
      </c>
      <c r="U205" s="5">
        <v>43485.0</v>
      </c>
      <c r="V205" s="6" t="s">
        <v>54</v>
      </c>
      <c r="W205" s="6" t="s">
        <v>55</v>
      </c>
      <c r="X205" s="6" t="s">
        <v>102</v>
      </c>
      <c r="Y205" s="6" t="s">
        <v>123</v>
      </c>
      <c r="Z205" s="6" t="s">
        <v>518</v>
      </c>
      <c r="AA205" s="6" t="s">
        <v>162</v>
      </c>
      <c r="AD205" s="7" t="s">
        <v>2553</v>
      </c>
      <c r="AE205" s="7" t="s">
        <v>2553</v>
      </c>
      <c r="AH205" s="11" t="str">
        <f>HYPERLINK("https://drive.google.com/file/d/1uKpH18pzL0Yl00K8LAvaPOFC6G3tTDnc/view?usp=drivesdk", "https://drive.google.com/file/d/1uKpH18pzL0Yl00K8LAvaPOFC6G3tTDnc/view?usp=drivesdk")</f>
        <v>https://drive.google.com/file/d/1uKpH18pzL0Yl00K8LAvaPOFC6G3tTDnc/view?usp=drivesdk</v>
      </c>
      <c r="AK205" s="6" t="s">
        <v>483</v>
      </c>
      <c r="AL205" s="13"/>
    </row>
    <row r="206" ht="22.5" customHeight="1">
      <c r="A206" s="4">
        <v>45847.71219820602</v>
      </c>
      <c r="B206" s="5">
        <v>45231.0</v>
      </c>
      <c r="C206" s="6" t="s">
        <v>2558</v>
      </c>
      <c r="D206" s="6" t="s">
        <v>2559</v>
      </c>
      <c r="E206" s="6" t="s">
        <v>2560</v>
      </c>
      <c r="F206" s="6" t="s">
        <v>2561</v>
      </c>
      <c r="G206" s="6" t="s">
        <v>66</v>
      </c>
      <c r="H206" s="7" t="s">
        <v>2562</v>
      </c>
      <c r="I206" s="6" t="s">
        <v>2563</v>
      </c>
      <c r="J206" s="6" t="s">
        <v>2564</v>
      </c>
      <c r="K206" s="6" t="s">
        <v>46</v>
      </c>
      <c r="L206" s="7" t="s">
        <v>2565</v>
      </c>
      <c r="M206" s="30">
        <v>45808.0</v>
      </c>
      <c r="N206" s="6" t="s">
        <v>48</v>
      </c>
      <c r="O206" s="6" t="s">
        <v>2566</v>
      </c>
      <c r="P206" s="6" t="s">
        <v>48</v>
      </c>
      <c r="R206" s="6" t="s">
        <v>2567</v>
      </c>
      <c r="S206" s="6" t="s">
        <v>2568</v>
      </c>
      <c r="T206" s="6" t="s">
        <v>76</v>
      </c>
      <c r="U206" s="5">
        <v>42658.0</v>
      </c>
      <c r="V206" s="6" t="s">
        <v>54</v>
      </c>
      <c r="W206" s="6" t="s">
        <v>55</v>
      </c>
      <c r="X206" s="6" t="s">
        <v>102</v>
      </c>
      <c r="Z206" s="6" t="s">
        <v>2569</v>
      </c>
      <c r="AA206" s="6" t="s">
        <v>80</v>
      </c>
      <c r="AB206" s="6">
        <v>5.0</v>
      </c>
      <c r="AD206" s="7" t="s">
        <v>2562</v>
      </c>
      <c r="AE206" s="7" t="s">
        <v>2562</v>
      </c>
      <c r="AF206" s="6" t="s">
        <v>2570</v>
      </c>
      <c r="AH206" s="12" t="s">
        <v>222</v>
      </c>
      <c r="AJ206" s="6" t="s">
        <v>2571</v>
      </c>
      <c r="AK206" s="6" t="s">
        <v>61</v>
      </c>
      <c r="AL206" s="13"/>
    </row>
    <row r="207" ht="22.5" customHeight="1">
      <c r="A207" s="4">
        <v>45847.712267800925</v>
      </c>
      <c r="B207" s="5">
        <v>45231.0</v>
      </c>
      <c r="C207" s="6" t="s">
        <v>2558</v>
      </c>
      <c r="D207" s="6" t="s">
        <v>2559</v>
      </c>
      <c r="E207" s="6" t="s">
        <v>2560</v>
      </c>
      <c r="F207" s="6" t="s">
        <v>2561</v>
      </c>
      <c r="G207" s="6" t="s">
        <v>66</v>
      </c>
      <c r="H207" s="7" t="s">
        <v>2562</v>
      </c>
      <c r="I207" s="6" t="s">
        <v>2563</v>
      </c>
      <c r="J207" s="6" t="s">
        <v>2564</v>
      </c>
      <c r="K207" s="6" t="s">
        <v>46</v>
      </c>
      <c r="L207" s="7" t="s">
        <v>2565</v>
      </c>
      <c r="M207" s="30">
        <v>45808.0</v>
      </c>
      <c r="N207" s="6" t="s">
        <v>504</v>
      </c>
      <c r="O207" s="6" t="s">
        <v>2566</v>
      </c>
      <c r="R207" s="6" t="s">
        <v>2567</v>
      </c>
      <c r="S207" s="6" t="s">
        <v>2568</v>
      </c>
      <c r="T207" s="6" t="s">
        <v>76</v>
      </c>
      <c r="U207" s="5">
        <v>42658.0</v>
      </c>
      <c r="V207" s="6" t="s">
        <v>54</v>
      </c>
      <c r="W207" s="6" t="s">
        <v>55</v>
      </c>
      <c r="X207" s="6" t="s">
        <v>102</v>
      </c>
      <c r="Z207" s="6" t="s">
        <v>2569</v>
      </c>
      <c r="AA207" s="6" t="s">
        <v>80</v>
      </c>
      <c r="AB207" s="6">
        <v>5.0</v>
      </c>
      <c r="AD207" s="7" t="s">
        <v>2562</v>
      </c>
      <c r="AE207" s="7" t="s">
        <v>2562</v>
      </c>
      <c r="AH207" s="15" t="s">
        <v>222</v>
      </c>
      <c r="AJ207" s="6" t="s">
        <v>2572</v>
      </c>
      <c r="AK207" s="6" t="s">
        <v>61</v>
      </c>
      <c r="AL207" s="13"/>
    </row>
    <row r="208" ht="22.5" customHeight="1">
      <c r="A208" s="4">
        <v>45847.721271608796</v>
      </c>
      <c r="B208" s="5">
        <v>44866.0</v>
      </c>
      <c r="C208" s="6" t="s">
        <v>2573</v>
      </c>
      <c r="D208" s="6" t="s">
        <v>2574</v>
      </c>
      <c r="E208" s="6" t="s">
        <v>2575</v>
      </c>
      <c r="F208" s="6" t="s">
        <v>2576</v>
      </c>
      <c r="G208" s="6" t="s">
        <v>2577</v>
      </c>
      <c r="H208" s="7" t="s">
        <v>2578</v>
      </c>
      <c r="I208" s="6" t="s">
        <v>2579</v>
      </c>
      <c r="J208" s="6" t="s">
        <v>2580</v>
      </c>
      <c r="K208" s="6" t="s">
        <v>2577</v>
      </c>
      <c r="L208" s="7" t="s">
        <v>2581</v>
      </c>
      <c r="M208" s="30">
        <v>45808.0</v>
      </c>
      <c r="N208" s="6" t="s">
        <v>48</v>
      </c>
      <c r="O208" s="6" t="s">
        <v>2582</v>
      </c>
      <c r="P208" s="6" t="s">
        <v>48</v>
      </c>
      <c r="R208" s="6" t="s">
        <v>2583</v>
      </c>
      <c r="S208" s="6" t="s">
        <v>2584</v>
      </c>
      <c r="T208" s="6" t="s">
        <v>2585</v>
      </c>
      <c r="U208" s="5">
        <v>42770.0</v>
      </c>
      <c r="V208" s="6" t="s">
        <v>54</v>
      </c>
      <c r="W208" s="6" t="s">
        <v>55</v>
      </c>
      <c r="X208" s="6" t="s">
        <v>102</v>
      </c>
      <c r="Y208" s="6" t="s">
        <v>78</v>
      </c>
      <c r="Z208" s="6" t="s">
        <v>2489</v>
      </c>
      <c r="AA208" s="6" t="s">
        <v>1176</v>
      </c>
      <c r="AB208" s="6">
        <v>57.0</v>
      </c>
      <c r="AD208" s="7" t="s">
        <v>2581</v>
      </c>
      <c r="AE208" s="7" t="s">
        <v>2581</v>
      </c>
      <c r="AF208" s="6" t="s">
        <v>2586</v>
      </c>
      <c r="AH208" s="10" t="str">
        <f t="shared" ref="AH208:AH209" si="36">HYPERLINK("https://drive.google.com/open?id=1QKSCGTKQ0jPsepAOynaFEe3FTNdSiRRs", "https://drive.google.com/open?id=1QKSCGTKQ0jPsepAOynaFEe3FTNdSiRRs")</f>
        <v>https://drive.google.com/open?id=1QKSCGTKQ0jPsepAOynaFEe3FTNdSiRRs</v>
      </c>
      <c r="AJ208" s="6" t="s">
        <v>2587</v>
      </c>
      <c r="AK208" s="6" t="s">
        <v>61</v>
      </c>
      <c r="AL208" s="13"/>
    </row>
    <row r="209" ht="22.5" customHeight="1">
      <c r="A209" s="4">
        <v>45847.72131709491</v>
      </c>
      <c r="B209" s="5">
        <v>44866.0</v>
      </c>
      <c r="C209" s="6" t="s">
        <v>2573</v>
      </c>
      <c r="D209" s="6" t="s">
        <v>2574</v>
      </c>
      <c r="E209" s="6" t="s">
        <v>2575</v>
      </c>
      <c r="F209" s="6" t="s">
        <v>2576</v>
      </c>
      <c r="G209" s="6" t="s">
        <v>2577</v>
      </c>
      <c r="H209" s="7" t="s">
        <v>2578</v>
      </c>
      <c r="I209" s="6" t="s">
        <v>2579</v>
      </c>
      <c r="J209" s="6" t="s">
        <v>2580</v>
      </c>
      <c r="K209" s="6" t="s">
        <v>2577</v>
      </c>
      <c r="L209" s="7" t="s">
        <v>2581</v>
      </c>
      <c r="M209" s="30">
        <v>45808.0</v>
      </c>
      <c r="N209" s="6" t="s">
        <v>504</v>
      </c>
      <c r="O209" s="6" t="s">
        <v>2582</v>
      </c>
      <c r="R209" s="6" t="s">
        <v>2583</v>
      </c>
      <c r="S209" s="6" t="s">
        <v>2584</v>
      </c>
      <c r="T209" s="6" t="s">
        <v>2585</v>
      </c>
      <c r="U209" s="5">
        <v>42770.0</v>
      </c>
      <c r="V209" s="6" t="s">
        <v>54</v>
      </c>
      <c r="W209" s="6" t="s">
        <v>55</v>
      </c>
      <c r="X209" s="6" t="s">
        <v>102</v>
      </c>
      <c r="Z209" s="6" t="s">
        <v>2489</v>
      </c>
      <c r="AA209" s="6" t="s">
        <v>1176</v>
      </c>
      <c r="AB209" s="6">
        <v>57.0</v>
      </c>
      <c r="AD209" s="7" t="s">
        <v>2581</v>
      </c>
      <c r="AE209" s="7" t="s">
        <v>2581</v>
      </c>
      <c r="AF209" s="6" t="s">
        <v>2586</v>
      </c>
      <c r="AH209" s="11" t="str">
        <f t="shared" si="36"/>
        <v>https://drive.google.com/open?id=1QKSCGTKQ0jPsepAOynaFEe3FTNdSiRRs</v>
      </c>
      <c r="AJ209" s="6" t="s">
        <v>2588</v>
      </c>
      <c r="AK209" s="6" t="s">
        <v>61</v>
      </c>
      <c r="AL209" s="13"/>
    </row>
    <row r="210" ht="22.5" customHeight="1">
      <c r="A210" s="4">
        <v>45847.754955613425</v>
      </c>
      <c r="B210" s="31">
        <v>43101.0</v>
      </c>
      <c r="C210" s="6" t="s">
        <v>2589</v>
      </c>
      <c r="D210" s="6" t="s">
        <v>2590</v>
      </c>
      <c r="E210" s="6" t="s">
        <v>2591</v>
      </c>
      <c r="F210" s="6" t="s">
        <v>2592</v>
      </c>
      <c r="G210" s="6" t="s">
        <v>66</v>
      </c>
      <c r="H210" s="7" t="s">
        <v>2593</v>
      </c>
      <c r="I210" s="6" t="s">
        <v>1415</v>
      </c>
      <c r="J210" s="6" t="s">
        <v>2594</v>
      </c>
      <c r="K210" s="6" t="s">
        <v>46</v>
      </c>
      <c r="L210" s="7" t="s">
        <v>2595</v>
      </c>
      <c r="M210" s="30">
        <v>45808.0</v>
      </c>
      <c r="N210" s="6" t="s">
        <v>48</v>
      </c>
      <c r="O210" s="6" t="s">
        <v>2596</v>
      </c>
      <c r="P210" s="6" t="s">
        <v>48</v>
      </c>
      <c r="Q210" s="6" t="s">
        <v>2597</v>
      </c>
      <c r="R210" s="6" t="s">
        <v>2598</v>
      </c>
      <c r="S210" s="6" t="s">
        <v>2598</v>
      </c>
      <c r="T210" s="6" t="s">
        <v>217</v>
      </c>
      <c r="U210" s="5">
        <v>41199.0</v>
      </c>
      <c r="V210" s="6" t="s">
        <v>54</v>
      </c>
      <c r="W210" s="6" t="s">
        <v>77</v>
      </c>
      <c r="X210" s="6" t="s">
        <v>102</v>
      </c>
      <c r="Y210" s="6" t="s">
        <v>160</v>
      </c>
      <c r="Z210" s="6" t="s">
        <v>2599</v>
      </c>
      <c r="AA210" s="6" t="s">
        <v>1098</v>
      </c>
      <c r="AB210" s="7" t="s">
        <v>2600</v>
      </c>
      <c r="AD210" s="7" t="s">
        <v>2601</v>
      </c>
      <c r="AE210" s="7" t="s">
        <v>2601</v>
      </c>
      <c r="AG210" s="6" t="s">
        <v>2602</v>
      </c>
      <c r="AH210" s="10" t="str">
        <f t="shared" ref="AH210:AH211" si="37">HYPERLINK("https://drive.google.com/file/d/1v73t3jP5iDfvaH3XglAWvwIc9GUoLdB-/view?usp=drivesdk", "https://drive.google.com/file/d/1v73t3jP5iDfvaH3XglAWvwIc9GUoLdB-/view?usp=drivesdk")</f>
        <v>https://drive.google.com/file/d/1v73t3jP5iDfvaH3XglAWvwIc9GUoLdB-/view?usp=drivesdk</v>
      </c>
      <c r="AJ210" s="6" t="s">
        <v>2603</v>
      </c>
      <c r="AK210" s="6" t="s">
        <v>61</v>
      </c>
      <c r="AL210" s="13"/>
    </row>
    <row r="211" ht="22.5" customHeight="1">
      <c r="A211" s="4">
        <v>45847.75504275463</v>
      </c>
      <c r="B211" s="31">
        <v>43101.0</v>
      </c>
      <c r="C211" s="6" t="s">
        <v>2589</v>
      </c>
      <c r="D211" s="6" t="s">
        <v>2590</v>
      </c>
      <c r="E211" s="6" t="s">
        <v>2591</v>
      </c>
      <c r="F211" s="6" t="s">
        <v>2592</v>
      </c>
      <c r="G211" s="6" t="s">
        <v>66</v>
      </c>
      <c r="H211" s="7" t="s">
        <v>2593</v>
      </c>
      <c r="I211" s="6" t="s">
        <v>1415</v>
      </c>
      <c r="J211" s="6" t="s">
        <v>2594</v>
      </c>
      <c r="K211" s="6" t="s">
        <v>46</v>
      </c>
      <c r="L211" s="7" t="s">
        <v>2595</v>
      </c>
      <c r="M211" s="30">
        <v>45808.0</v>
      </c>
      <c r="N211" s="6" t="s">
        <v>71</v>
      </c>
      <c r="O211" s="6" t="s">
        <v>2596</v>
      </c>
      <c r="P211" s="6" t="s">
        <v>71</v>
      </c>
      <c r="Q211" s="6" t="s">
        <v>2597</v>
      </c>
      <c r="R211" s="6" t="s">
        <v>2598</v>
      </c>
      <c r="S211" s="6" t="s">
        <v>2598</v>
      </c>
      <c r="T211" s="6" t="s">
        <v>217</v>
      </c>
      <c r="U211" s="5">
        <v>41199.0</v>
      </c>
      <c r="V211" s="6" t="s">
        <v>54</v>
      </c>
      <c r="W211" s="6" t="s">
        <v>77</v>
      </c>
      <c r="X211" s="6" t="s">
        <v>102</v>
      </c>
      <c r="Y211" s="6" t="s">
        <v>160</v>
      </c>
      <c r="Z211" s="6" t="s">
        <v>2599</v>
      </c>
      <c r="AA211" s="6" t="s">
        <v>1098</v>
      </c>
      <c r="AB211" s="7" t="s">
        <v>2600</v>
      </c>
      <c r="AD211" s="7" t="s">
        <v>2601</v>
      </c>
      <c r="AE211" s="7" t="s">
        <v>2601</v>
      </c>
      <c r="AG211" s="6" t="s">
        <v>2602</v>
      </c>
      <c r="AH211" s="11" t="str">
        <f t="shared" si="37"/>
        <v>https://drive.google.com/file/d/1v73t3jP5iDfvaH3XglAWvwIc9GUoLdB-/view?usp=drivesdk</v>
      </c>
      <c r="AJ211" s="6" t="s">
        <v>2028</v>
      </c>
      <c r="AK211" s="6" t="s">
        <v>61</v>
      </c>
      <c r="AL211" s="13"/>
    </row>
    <row r="212" ht="22.5" customHeight="1">
      <c r="A212" s="4">
        <v>45847.76623631944</v>
      </c>
      <c r="B212" s="5">
        <v>45017.0</v>
      </c>
      <c r="C212" s="6" t="s">
        <v>2604</v>
      </c>
      <c r="D212" s="6" t="s">
        <v>2605</v>
      </c>
      <c r="E212" s="6" t="s">
        <v>2606</v>
      </c>
      <c r="F212" s="6" t="s">
        <v>2607</v>
      </c>
      <c r="G212" s="6" t="s">
        <v>150</v>
      </c>
      <c r="H212" s="7" t="s">
        <v>2608</v>
      </c>
      <c r="I212" s="6" t="s">
        <v>2609</v>
      </c>
      <c r="J212" s="6" t="s">
        <v>2610</v>
      </c>
      <c r="K212" s="6" t="s">
        <v>336</v>
      </c>
      <c r="L212" s="7" t="s">
        <v>2611</v>
      </c>
      <c r="M212" s="30">
        <v>45808.0</v>
      </c>
      <c r="N212" s="6" t="s">
        <v>48</v>
      </c>
      <c r="O212" s="6" t="s">
        <v>2612</v>
      </c>
      <c r="P212" s="6" t="s">
        <v>48</v>
      </c>
      <c r="R212" s="6" t="s">
        <v>2613</v>
      </c>
      <c r="S212" s="6" t="s">
        <v>2614</v>
      </c>
      <c r="T212" s="6" t="s">
        <v>887</v>
      </c>
      <c r="U212" s="5">
        <v>43185.0</v>
      </c>
      <c r="V212" s="6" t="s">
        <v>54</v>
      </c>
      <c r="W212" s="6" t="s">
        <v>77</v>
      </c>
      <c r="X212" s="6" t="s">
        <v>102</v>
      </c>
      <c r="Y212" s="6" t="s">
        <v>123</v>
      </c>
      <c r="Z212" s="6" t="s">
        <v>2615</v>
      </c>
      <c r="AA212" s="6" t="s">
        <v>104</v>
      </c>
      <c r="AB212" s="6">
        <v>2.0</v>
      </c>
      <c r="AD212" s="7" t="s">
        <v>2616</v>
      </c>
      <c r="AE212" s="7" t="s">
        <v>2616</v>
      </c>
      <c r="AH212" s="10" t="str">
        <f t="shared" ref="AH212:AH213" si="38">HYPERLINK("https://drive.google.com/file/d/1J3HVOG8gVE5efnjukNeehC8v5Ju2-_dY/view?usp=drivesdk", "https://drive.google.com/file/d/1J3HVOG8gVE5efnjukNeehC8v5Ju2-_dY/view?usp=drivesdk")</f>
        <v>https://drive.google.com/file/d/1J3HVOG8gVE5efnjukNeehC8v5Ju2-_dY/view?usp=drivesdk</v>
      </c>
      <c r="AK212" s="6" t="s">
        <v>483</v>
      </c>
      <c r="AL212" s="13"/>
    </row>
    <row r="213" ht="22.5" customHeight="1">
      <c r="A213" s="4">
        <v>45847.766308252314</v>
      </c>
      <c r="B213" s="5">
        <v>45017.0</v>
      </c>
      <c r="C213" s="6" t="s">
        <v>2604</v>
      </c>
      <c r="D213" s="6" t="s">
        <v>2605</v>
      </c>
      <c r="E213" s="6" t="s">
        <v>2606</v>
      </c>
      <c r="F213" s="6" t="s">
        <v>2607</v>
      </c>
      <c r="G213" s="6" t="s">
        <v>150</v>
      </c>
      <c r="H213" s="7" t="s">
        <v>2608</v>
      </c>
      <c r="I213" s="6" t="s">
        <v>2609</v>
      </c>
      <c r="J213" s="6" t="s">
        <v>2610</v>
      </c>
      <c r="K213" s="6" t="s">
        <v>336</v>
      </c>
      <c r="L213" s="7" t="s">
        <v>2611</v>
      </c>
      <c r="M213" s="30">
        <v>45808.0</v>
      </c>
      <c r="N213" s="6" t="s">
        <v>71</v>
      </c>
      <c r="O213" s="6" t="s">
        <v>2612</v>
      </c>
      <c r="P213" s="6" t="s">
        <v>71</v>
      </c>
      <c r="R213" s="6" t="s">
        <v>2613</v>
      </c>
      <c r="S213" s="6" t="s">
        <v>2614</v>
      </c>
      <c r="T213" s="6" t="s">
        <v>887</v>
      </c>
      <c r="U213" s="5">
        <v>43185.0</v>
      </c>
      <c r="V213" s="6" t="s">
        <v>54</v>
      </c>
      <c r="W213" s="6" t="s">
        <v>77</v>
      </c>
      <c r="X213" s="6" t="s">
        <v>102</v>
      </c>
      <c r="Y213" s="6" t="s">
        <v>123</v>
      </c>
      <c r="Z213" s="6" t="s">
        <v>2615</v>
      </c>
      <c r="AA213" s="6" t="s">
        <v>104</v>
      </c>
      <c r="AB213" s="6">
        <v>2.0</v>
      </c>
      <c r="AD213" s="7" t="s">
        <v>2616</v>
      </c>
      <c r="AE213" s="7" t="s">
        <v>2616</v>
      </c>
      <c r="AH213" s="11" t="str">
        <f t="shared" si="38"/>
        <v>https://drive.google.com/file/d/1J3HVOG8gVE5efnjukNeehC8v5Ju2-_dY/view?usp=drivesdk</v>
      </c>
      <c r="AK213" s="6" t="s">
        <v>483</v>
      </c>
      <c r="AL213" s="13"/>
    </row>
    <row r="214" ht="22.5" customHeight="1">
      <c r="A214" s="4">
        <v>45847.78215481481</v>
      </c>
      <c r="B214" s="5">
        <v>45839.0</v>
      </c>
      <c r="C214" s="6" t="s">
        <v>2617</v>
      </c>
      <c r="D214" s="6" t="s">
        <v>2618</v>
      </c>
      <c r="E214" s="6" t="s">
        <v>2619</v>
      </c>
      <c r="F214" s="6" t="s">
        <v>2620</v>
      </c>
      <c r="G214" s="6" t="s">
        <v>1040</v>
      </c>
      <c r="H214" s="7" t="s">
        <v>2621</v>
      </c>
      <c r="I214" s="6" t="s">
        <v>2622</v>
      </c>
      <c r="J214" s="6" t="s">
        <v>2623</v>
      </c>
      <c r="K214" s="6" t="s">
        <v>46</v>
      </c>
      <c r="L214" s="7" t="s">
        <v>2624</v>
      </c>
      <c r="M214" s="30">
        <v>45808.0</v>
      </c>
      <c r="N214" s="6" t="s">
        <v>71</v>
      </c>
      <c r="O214" s="6" t="s">
        <v>2625</v>
      </c>
      <c r="P214" s="6" t="s">
        <v>71</v>
      </c>
      <c r="Q214" s="6">
        <v>2.00726920390585E16</v>
      </c>
      <c r="R214" s="6" t="s">
        <v>2626</v>
      </c>
      <c r="S214" s="6" t="s">
        <v>2627</v>
      </c>
      <c r="T214" s="6" t="s">
        <v>2585</v>
      </c>
      <c r="U214" s="5">
        <v>39345.0</v>
      </c>
      <c r="V214" s="6" t="s">
        <v>54</v>
      </c>
      <c r="W214" s="6" t="s">
        <v>77</v>
      </c>
      <c r="X214" s="6" t="s">
        <v>102</v>
      </c>
      <c r="Y214" s="6" t="s">
        <v>138</v>
      </c>
      <c r="Z214" s="6" t="s">
        <v>2628</v>
      </c>
      <c r="AA214" s="6" t="s">
        <v>2629</v>
      </c>
      <c r="AC214" s="6" t="s">
        <v>1766</v>
      </c>
      <c r="AD214" s="7" t="s">
        <v>2630</v>
      </c>
      <c r="AE214" s="7" t="s">
        <v>2631</v>
      </c>
      <c r="AF214" s="6" t="s">
        <v>2632</v>
      </c>
      <c r="AG214" s="6" t="s">
        <v>2633</v>
      </c>
      <c r="AH214" s="10" t="str">
        <f>HYPERLINK("https://drive.google.com/file/d/143-EXOaDJkeXtyDH9j5dNBSE2PwhVyes/view?usp=drivesdk", "https://drive.google.com/file/d/143-EXOaDJkeXtyDH9j5dNBSE2PwhVyes/view?usp=drivesdk")</f>
        <v>https://drive.google.com/file/d/143-EXOaDJkeXtyDH9j5dNBSE2PwhVyes/view?usp=drivesdk</v>
      </c>
      <c r="AJ214" s="6" t="s">
        <v>585</v>
      </c>
      <c r="AK214" s="6" t="s">
        <v>61</v>
      </c>
      <c r="AL214" s="13"/>
    </row>
    <row r="215" ht="22.5" customHeight="1">
      <c r="A215" s="4">
        <v>45847.79866556713</v>
      </c>
      <c r="B215" s="5">
        <v>45839.0</v>
      </c>
      <c r="C215" s="6" t="s">
        <v>2634</v>
      </c>
      <c r="D215" s="6" t="s">
        <v>2635</v>
      </c>
      <c r="E215" s="6" t="s">
        <v>2636</v>
      </c>
      <c r="F215" s="6" t="s">
        <v>2637</v>
      </c>
      <c r="G215" s="6" t="s">
        <v>42</v>
      </c>
      <c r="H215" s="7" t="s">
        <v>2638</v>
      </c>
      <c r="I215" s="6" t="s">
        <v>2639</v>
      </c>
      <c r="J215" s="6" t="s">
        <v>2640</v>
      </c>
      <c r="K215" s="6" t="s">
        <v>46</v>
      </c>
      <c r="L215" s="7" t="s">
        <v>2641</v>
      </c>
      <c r="M215" s="30">
        <v>45808.0</v>
      </c>
      <c r="N215" s="6" t="s">
        <v>71</v>
      </c>
      <c r="O215" s="6" t="s">
        <v>2642</v>
      </c>
      <c r="P215" s="6" t="s">
        <v>71</v>
      </c>
      <c r="Q215" s="7" t="s">
        <v>2643</v>
      </c>
      <c r="R215" s="6" t="s">
        <v>2644</v>
      </c>
      <c r="S215" s="6" t="s">
        <v>2645</v>
      </c>
      <c r="T215" s="6" t="s">
        <v>273</v>
      </c>
      <c r="U215" s="5">
        <v>42575.0</v>
      </c>
      <c r="V215" s="6" t="s">
        <v>54</v>
      </c>
      <c r="W215" s="6" t="s">
        <v>77</v>
      </c>
      <c r="X215" s="6" t="s">
        <v>102</v>
      </c>
      <c r="Y215" s="6" t="s">
        <v>78</v>
      </c>
      <c r="Z215" s="6" t="s">
        <v>2646</v>
      </c>
      <c r="AA215" s="6" t="s">
        <v>2647</v>
      </c>
      <c r="AD215" s="7" t="s">
        <v>2648</v>
      </c>
      <c r="AE215" s="7" t="s">
        <v>2641</v>
      </c>
      <c r="AF215" s="6" t="s">
        <v>2649</v>
      </c>
      <c r="AH215" s="11" t="str">
        <f>HYPERLINK("https://drive.google.com/open?id=1UG8LyY7i2el8nhUv49Ck-CNr1njU5GD0", "https://drive.google.com/open?id=1UG8LyY7i2el8nhUv49Ck-CNr1njU5GD0")</f>
        <v>https://drive.google.com/open?id=1UG8LyY7i2el8nhUv49Ck-CNr1njU5GD0</v>
      </c>
      <c r="AJ215" s="6" t="s">
        <v>2650</v>
      </c>
      <c r="AK215" s="6" t="s">
        <v>61</v>
      </c>
      <c r="AL215" s="13"/>
    </row>
    <row r="216" ht="22.5" customHeight="1">
      <c r="A216" s="4">
        <v>45847.79871451389</v>
      </c>
      <c r="B216" s="5">
        <v>45839.0</v>
      </c>
      <c r="C216" s="6" t="s">
        <v>2651</v>
      </c>
      <c r="D216" s="6" t="s">
        <v>2652</v>
      </c>
      <c r="E216" s="6" t="s">
        <v>2636</v>
      </c>
      <c r="F216" s="6" t="s">
        <v>2637</v>
      </c>
      <c r="G216" s="6" t="s">
        <v>42</v>
      </c>
      <c r="H216" s="7" t="s">
        <v>2638</v>
      </c>
      <c r="I216" s="6" t="s">
        <v>2639</v>
      </c>
      <c r="J216" s="6" t="s">
        <v>2640</v>
      </c>
      <c r="K216" s="6" t="s">
        <v>46</v>
      </c>
      <c r="L216" s="7" t="s">
        <v>2641</v>
      </c>
      <c r="M216" s="30">
        <v>45808.0</v>
      </c>
      <c r="N216" s="6" t="s">
        <v>71</v>
      </c>
      <c r="O216" s="6" t="s">
        <v>2653</v>
      </c>
      <c r="P216" s="6" t="s">
        <v>71</v>
      </c>
      <c r="Q216" s="7" t="s">
        <v>2654</v>
      </c>
      <c r="R216" s="6" t="s">
        <v>2644</v>
      </c>
      <c r="S216" s="6" t="s">
        <v>2645</v>
      </c>
      <c r="T216" s="6" t="s">
        <v>273</v>
      </c>
      <c r="U216" s="5">
        <v>41196.0</v>
      </c>
      <c r="V216" s="6" t="s">
        <v>54</v>
      </c>
      <c r="W216" s="6" t="s">
        <v>77</v>
      </c>
      <c r="X216" s="6" t="s">
        <v>102</v>
      </c>
      <c r="Y216" s="6" t="s">
        <v>78</v>
      </c>
      <c r="Z216" s="6" t="s">
        <v>755</v>
      </c>
      <c r="AA216" s="6" t="s">
        <v>2655</v>
      </c>
      <c r="AB216" s="7" t="s">
        <v>1556</v>
      </c>
      <c r="AD216" s="7" t="s">
        <v>2648</v>
      </c>
      <c r="AE216" s="7" t="s">
        <v>2641</v>
      </c>
      <c r="AF216" s="6" t="s">
        <v>2649</v>
      </c>
      <c r="AH216" s="10" t="str">
        <f>HYPERLINK("https://drive.google.com/open?id=1GzjDGQ77lpKmkTEcZi0mUnAzMqFZnC-0", "https://drive.google.com/open?id=1GzjDGQ77lpKmkTEcZi0mUnAzMqFZnC-0")</f>
        <v>https://drive.google.com/open?id=1GzjDGQ77lpKmkTEcZi0mUnAzMqFZnC-0</v>
      </c>
      <c r="AJ216" s="6" t="s">
        <v>2650</v>
      </c>
      <c r="AK216" s="6" t="s">
        <v>61</v>
      </c>
      <c r="AL216" s="13"/>
    </row>
    <row r="217" ht="22.5" customHeight="1">
      <c r="A217" s="4">
        <v>45847.806934328706</v>
      </c>
      <c r="B217" s="5">
        <v>45841.0</v>
      </c>
      <c r="C217" s="6" t="s">
        <v>2656</v>
      </c>
      <c r="D217" s="6" t="s">
        <v>2657</v>
      </c>
      <c r="E217" s="6" t="s">
        <v>2658</v>
      </c>
      <c r="F217" s="6" t="s">
        <v>589</v>
      </c>
      <c r="G217" s="6" t="s">
        <v>150</v>
      </c>
      <c r="H217" s="7" t="s">
        <v>2659</v>
      </c>
      <c r="I217" s="6" t="s">
        <v>2660</v>
      </c>
      <c r="J217" s="6" t="s">
        <v>2661</v>
      </c>
      <c r="K217" s="6" t="s">
        <v>336</v>
      </c>
      <c r="L217" s="7" t="s">
        <v>2662</v>
      </c>
      <c r="M217" s="30">
        <v>45808.0</v>
      </c>
      <c r="N217" s="6" t="s">
        <v>176</v>
      </c>
      <c r="O217" s="6" t="s">
        <v>2663</v>
      </c>
      <c r="P217" s="6" t="s">
        <v>176</v>
      </c>
      <c r="R217" s="6" t="s">
        <v>2664</v>
      </c>
      <c r="S217" s="6" t="s">
        <v>2665</v>
      </c>
      <c r="T217" s="6" t="s">
        <v>2666</v>
      </c>
      <c r="U217" s="5">
        <v>41976.0</v>
      </c>
      <c r="V217" s="6" t="s">
        <v>54</v>
      </c>
      <c r="W217" s="6" t="s">
        <v>77</v>
      </c>
      <c r="X217" s="6" t="s">
        <v>102</v>
      </c>
      <c r="Z217" s="6" t="s">
        <v>2667</v>
      </c>
      <c r="AA217" s="6" t="s">
        <v>656</v>
      </c>
      <c r="AD217" s="7" t="s">
        <v>2662</v>
      </c>
      <c r="AE217" s="7" t="s">
        <v>2662</v>
      </c>
      <c r="AG217" s="6" t="s">
        <v>2668</v>
      </c>
      <c r="AH217" s="11" t="str">
        <f>HYPERLINK("https://drive.google.com/file/d/1sJEjzFDX8McpCD4RLd6Y0kFG4JxDo8Q2/view?usp=drivesdk", "https://drive.google.com/file/d/1sJEjzFDX8McpCD4RLd6Y0kFG4JxDo8Q2/view?usp=drivesdk")</f>
        <v>https://drive.google.com/file/d/1sJEjzFDX8McpCD4RLd6Y0kFG4JxDo8Q2/view?usp=drivesdk</v>
      </c>
      <c r="AK217" s="6" t="s">
        <v>483</v>
      </c>
      <c r="AL217" s="13"/>
    </row>
    <row r="218" ht="22.5" customHeight="1">
      <c r="A218" s="4">
        <v>45847.811457731485</v>
      </c>
      <c r="B218" s="5">
        <v>45842.0</v>
      </c>
      <c r="C218" s="6" t="s">
        <v>2669</v>
      </c>
      <c r="D218" s="6" t="s">
        <v>2670</v>
      </c>
      <c r="E218" s="6" t="s">
        <v>2671</v>
      </c>
      <c r="F218" s="6" t="s">
        <v>2672</v>
      </c>
      <c r="G218" s="6" t="s">
        <v>42</v>
      </c>
      <c r="H218" s="7" t="s">
        <v>2673</v>
      </c>
      <c r="I218" s="6" t="s">
        <v>2674</v>
      </c>
      <c r="J218" s="6" t="s">
        <v>2675</v>
      </c>
      <c r="K218" s="6" t="s">
        <v>46</v>
      </c>
      <c r="L218" s="7" t="s">
        <v>2676</v>
      </c>
      <c r="M218" s="30">
        <v>45808.0</v>
      </c>
      <c r="N218" s="6" t="s">
        <v>71</v>
      </c>
      <c r="O218" s="6" t="s">
        <v>2677</v>
      </c>
      <c r="P218" s="6" t="s">
        <v>71</v>
      </c>
      <c r="R218" s="6" t="s">
        <v>2678</v>
      </c>
      <c r="S218" s="6" t="s">
        <v>2679</v>
      </c>
      <c r="T218" s="6" t="s">
        <v>2680</v>
      </c>
      <c r="U218" s="5">
        <v>42003.0</v>
      </c>
      <c r="V218" s="6" t="s">
        <v>54</v>
      </c>
      <c r="W218" s="6" t="s">
        <v>77</v>
      </c>
      <c r="X218" s="6" t="s">
        <v>102</v>
      </c>
      <c r="Y218" s="6" t="s">
        <v>123</v>
      </c>
      <c r="Z218" s="6" t="s">
        <v>2681</v>
      </c>
      <c r="AA218" s="6" t="s">
        <v>1098</v>
      </c>
      <c r="AB218" s="6">
        <v>43.0</v>
      </c>
      <c r="AD218" s="7" t="s">
        <v>2676</v>
      </c>
      <c r="AE218" s="7" t="s">
        <v>2682</v>
      </c>
      <c r="AF218" s="6" t="s">
        <v>2683</v>
      </c>
      <c r="AG218" s="6" t="s">
        <v>2684</v>
      </c>
      <c r="AH218" s="10" t="str">
        <f>HYPERLINK("https://drive.google.com/file/d/1K1wCcNjoKn2A6ep7eZafFwFX8gE-CERV/view?usp=drivesdk", "https://drive.google.com/file/d/1K1wCcNjoKn2A6ep7eZafFwFX8gE-CERV/view?usp=drivesdk")</f>
        <v>https://drive.google.com/file/d/1K1wCcNjoKn2A6ep7eZafFwFX8gE-CERV/view?usp=drivesdk</v>
      </c>
      <c r="AJ218" s="6" t="s">
        <v>585</v>
      </c>
      <c r="AK218" s="6" t="s">
        <v>61</v>
      </c>
      <c r="AL218" s="13"/>
    </row>
    <row r="219" ht="22.5" customHeight="1">
      <c r="A219" s="4">
        <v>45852.972484756945</v>
      </c>
      <c r="B219" s="5">
        <v>42494.0</v>
      </c>
      <c r="C219" s="6" t="s">
        <v>2685</v>
      </c>
      <c r="D219" s="6" t="s">
        <v>2686</v>
      </c>
      <c r="E219" s="6" t="s">
        <v>2687</v>
      </c>
      <c r="F219" s="6" t="s">
        <v>2688</v>
      </c>
      <c r="G219" s="6" t="s">
        <v>150</v>
      </c>
      <c r="H219" s="7" t="s">
        <v>2689</v>
      </c>
      <c r="I219" s="6" t="s">
        <v>2690</v>
      </c>
      <c r="J219" s="6" t="s">
        <v>2691</v>
      </c>
      <c r="K219" s="6" t="s">
        <v>336</v>
      </c>
      <c r="L219" s="7" t="s">
        <v>2692</v>
      </c>
      <c r="M219" s="5">
        <v>45808.0</v>
      </c>
      <c r="N219" s="6" t="s">
        <v>71</v>
      </c>
      <c r="O219" s="6" t="s">
        <v>2693</v>
      </c>
      <c r="P219" s="6" t="s">
        <v>71</v>
      </c>
      <c r="Q219" s="6" t="s">
        <v>2694</v>
      </c>
      <c r="R219" s="6" t="s">
        <v>2695</v>
      </c>
      <c r="S219" s="6" t="s">
        <v>2696</v>
      </c>
      <c r="T219" s="6" t="s">
        <v>217</v>
      </c>
      <c r="U219" s="5">
        <v>40541.0</v>
      </c>
      <c r="V219" s="6" t="s">
        <v>54</v>
      </c>
      <c r="W219" s="6" t="s">
        <v>77</v>
      </c>
      <c r="X219" s="6" t="s">
        <v>102</v>
      </c>
      <c r="Y219" s="6" t="s">
        <v>160</v>
      </c>
      <c r="Z219" s="6" t="s">
        <v>2697</v>
      </c>
      <c r="AA219" s="6" t="s">
        <v>1518</v>
      </c>
      <c r="AB219" s="6">
        <v>16.0</v>
      </c>
      <c r="AD219" s="7" t="s">
        <v>2692</v>
      </c>
      <c r="AE219" s="7" t="s">
        <v>2692</v>
      </c>
      <c r="AH219" s="15" t="s">
        <v>222</v>
      </c>
      <c r="AK219" s="6" t="s">
        <v>483</v>
      </c>
    </row>
    <row r="220" ht="22.5" customHeight="1">
      <c r="A220" s="4">
        <v>45854.146336412035</v>
      </c>
      <c r="B220" s="5">
        <v>42450.0</v>
      </c>
      <c r="C220" s="6" t="s">
        <v>2698</v>
      </c>
      <c r="D220" s="6" t="s">
        <v>2699</v>
      </c>
      <c r="E220" s="6" t="s">
        <v>2700</v>
      </c>
      <c r="F220" s="6" t="s">
        <v>2701</v>
      </c>
      <c r="G220" s="6" t="s">
        <v>150</v>
      </c>
      <c r="H220" s="7" t="s">
        <v>2702</v>
      </c>
      <c r="I220" s="6" t="s">
        <v>2703</v>
      </c>
      <c r="J220" s="6" t="s">
        <v>2704</v>
      </c>
      <c r="K220" s="6" t="s">
        <v>208</v>
      </c>
      <c r="L220" s="7" t="s">
        <v>2705</v>
      </c>
      <c r="M220" s="5">
        <v>45726.0</v>
      </c>
      <c r="N220" s="6" t="s">
        <v>71</v>
      </c>
      <c r="O220" s="6" t="s">
        <v>2706</v>
      </c>
      <c r="P220" s="6" t="s">
        <v>71</v>
      </c>
      <c r="R220" s="6" t="s">
        <v>2707</v>
      </c>
      <c r="S220" s="6" t="s">
        <v>2708</v>
      </c>
      <c r="T220" s="6" t="s">
        <v>1663</v>
      </c>
      <c r="U220" s="5">
        <v>40595.0</v>
      </c>
      <c r="V220" s="6" t="s">
        <v>54</v>
      </c>
      <c r="W220" s="6" t="s">
        <v>77</v>
      </c>
      <c r="X220" s="6" t="s">
        <v>102</v>
      </c>
      <c r="Y220" s="6" t="s">
        <v>160</v>
      </c>
      <c r="Z220" s="6" t="s">
        <v>2011</v>
      </c>
      <c r="AA220" s="6" t="s">
        <v>324</v>
      </c>
      <c r="AB220" s="6">
        <v>2.0</v>
      </c>
      <c r="AD220" s="7" t="s">
        <v>2709</v>
      </c>
      <c r="AE220" s="7" t="s">
        <v>2709</v>
      </c>
      <c r="AK220" s="6" t="s">
        <v>483</v>
      </c>
    </row>
    <row r="221" ht="22.5" customHeight="1">
      <c r="A221" s="4">
        <v>45882.88475300926</v>
      </c>
      <c r="B221" s="5">
        <v>45834.0</v>
      </c>
      <c r="C221" s="6" t="s">
        <v>2710</v>
      </c>
      <c r="D221" s="6" t="s">
        <v>2711</v>
      </c>
      <c r="E221" s="6" t="s">
        <v>523</v>
      </c>
      <c r="F221" s="6" t="s">
        <v>539</v>
      </c>
      <c r="G221" s="6" t="s">
        <v>2712</v>
      </c>
      <c r="H221" s="7" t="s">
        <v>525</v>
      </c>
      <c r="I221" s="6" t="s">
        <v>2713</v>
      </c>
      <c r="J221" s="6" t="s">
        <v>2714</v>
      </c>
      <c r="K221" s="6" t="s">
        <v>2715</v>
      </c>
      <c r="L221" s="7" t="s">
        <v>528</v>
      </c>
      <c r="N221" s="6" t="s">
        <v>71</v>
      </c>
      <c r="O221" s="6" t="s">
        <v>529</v>
      </c>
      <c r="P221" s="6" t="s">
        <v>71</v>
      </c>
      <c r="R221" s="6" t="s">
        <v>2716</v>
      </c>
      <c r="S221" s="6" t="s">
        <v>2716</v>
      </c>
      <c r="T221" s="6" t="s">
        <v>101</v>
      </c>
      <c r="U221" s="5">
        <v>38507.0</v>
      </c>
      <c r="V221" s="6" t="s">
        <v>54</v>
      </c>
      <c r="W221" s="6" t="s">
        <v>77</v>
      </c>
      <c r="X221" s="6" t="s">
        <v>102</v>
      </c>
      <c r="Y221" s="6" t="s">
        <v>160</v>
      </c>
      <c r="Z221" s="6" t="s">
        <v>2717</v>
      </c>
      <c r="AA221" s="6" t="s">
        <v>2718</v>
      </c>
      <c r="AB221" s="6">
        <v>2709.0</v>
      </c>
      <c r="AC221" s="6" t="s">
        <v>2719</v>
      </c>
      <c r="AD221" s="7" t="s">
        <v>2720</v>
      </c>
      <c r="AE221" s="7" t="s">
        <v>2720</v>
      </c>
      <c r="AF221" s="6" t="s">
        <v>2721</v>
      </c>
      <c r="AK221" s="6" t="s">
        <v>2722</v>
      </c>
    </row>
    <row r="222" ht="22.5" customHeight="1">
      <c r="A222" s="4">
        <v>45882.91026888889</v>
      </c>
      <c r="B222" s="5">
        <v>44975.0</v>
      </c>
      <c r="C222" s="6" t="s">
        <v>2723</v>
      </c>
      <c r="D222" s="6" t="s">
        <v>2724</v>
      </c>
      <c r="E222" s="6" t="s">
        <v>2725</v>
      </c>
      <c r="F222" s="6" t="s">
        <v>2726</v>
      </c>
      <c r="G222" s="6" t="s">
        <v>2727</v>
      </c>
      <c r="H222" s="7" t="s">
        <v>2728</v>
      </c>
      <c r="I222" s="6" t="s">
        <v>2729</v>
      </c>
      <c r="J222" s="6" t="s">
        <v>2730</v>
      </c>
      <c r="K222" s="6" t="s">
        <v>2731</v>
      </c>
      <c r="L222" s="7" t="s">
        <v>2732</v>
      </c>
      <c r="M222" s="5">
        <v>45744.0</v>
      </c>
      <c r="N222" s="6" t="s">
        <v>71</v>
      </c>
      <c r="O222" s="6" t="s">
        <v>2733</v>
      </c>
      <c r="P222" s="6" t="s">
        <v>71</v>
      </c>
      <c r="Q222" s="6">
        <v>1.046804934E9</v>
      </c>
      <c r="R222" s="6" t="s">
        <v>2734</v>
      </c>
      <c r="S222" s="6" t="s">
        <v>2735</v>
      </c>
      <c r="T222" s="6" t="s">
        <v>802</v>
      </c>
      <c r="U222" s="5">
        <v>38198.0</v>
      </c>
      <c r="V222" s="6" t="s">
        <v>54</v>
      </c>
      <c r="W222" s="6" t="s">
        <v>77</v>
      </c>
      <c r="X222" s="6" t="s">
        <v>102</v>
      </c>
      <c r="Y222" s="6" t="s">
        <v>439</v>
      </c>
      <c r="Z222" s="6" t="s">
        <v>2736</v>
      </c>
      <c r="AA222" s="6" t="s">
        <v>2737</v>
      </c>
      <c r="AB222" s="6">
        <v>86.0</v>
      </c>
      <c r="AC222" s="6" t="s">
        <v>2738</v>
      </c>
      <c r="AD222" s="7" t="s">
        <v>2739</v>
      </c>
      <c r="AE222" s="7" t="s">
        <v>2739</v>
      </c>
      <c r="AF222" s="6" t="s">
        <v>2740</v>
      </c>
      <c r="AG222" s="6" t="s">
        <v>2741</v>
      </c>
      <c r="AK222" s="6" t="s">
        <v>2722</v>
      </c>
    </row>
    <row r="223">
      <c r="AL223" s="32"/>
    </row>
    <row r="224">
      <c r="AL224" s="32"/>
    </row>
    <row r="225">
      <c r="AL225" s="32"/>
    </row>
    <row r="226">
      <c r="AL226" s="32"/>
    </row>
    <row r="227">
      <c r="AL227" s="32"/>
    </row>
    <row r="228">
      <c r="AL228" s="32"/>
    </row>
    <row r="229">
      <c r="AL229" s="32"/>
    </row>
    <row r="230">
      <c r="AL230" s="32"/>
    </row>
    <row r="231">
      <c r="AL231" s="32"/>
    </row>
    <row r="232">
      <c r="AL232" s="32"/>
    </row>
    <row r="233">
      <c r="AL233" s="32"/>
    </row>
    <row r="234">
      <c r="AL234" s="32"/>
    </row>
    <row r="235">
      <c r="AL235" s="32"/>
    </row>
    <row r="236">
      <c r="AL236" s="32"/>
    </row>
    <row r="237">
      <c r="AL237" s="32"/>
    </row>
    <row r="238">
      <c r="AL238" s="32"/>
    </row>
    <row r="239">
      <c r="AL239" s="32"/>
    </row>
    <row r="240">
      <c r="AL240" s="32"/>
    </row>
    <row r="241">
      <c r="AL241" s="32"/>
    </row>
    <row r="242">
      <c r="AL242" s="32"/>
    </row>
    <row r="243">
      <c r="AL243" s="32"/>
    </row>
    <row r="244">
      <c r="AL244" s="32"/>
    </row>
    <row r="245">
      <c r="AL245" s="32"/>
    </row>
    <row r="246">
      <c r="AL246" s="32"/>
    </row>
    <row r="247">
      <c r="AL247" s="32"/>
    </row>
    <row r="248">
      <c r="AL248" s="32"/>
    </row>
    <row r="249">
      <c r="AL249" s="32"/>
    </row>
    <row r="250">
      <c r="AL250" s="32"/>
    </row>
    <row r="251">
      <c r="AL251" s="32"/>
    </row>
    <row r="252">
      <c r="AL252" s="32"/>
    </row>
    <row r="253">
      <c r="AL253" s="32"/>
    </row>
    <row r="254">
      <c r="AL254" s="32"/>
    </row>
    <row r="255">
      <c r="AL255" s="32"/>
    </row>
    <row r="256">
      <c r="AL256" s="32"/>
    </row>
    <row r="257">
      <c r="AL257" s="32"/>
    </row>
    <row r="258">
      <c r="AL258" s="32"/>
    </row>
    <row r="259">
      <c r="AL259" s="32"/>
    </row>
    <row r="260">
      <c r="AL260" s="32"/>
    </row>
    <row r="261">
      <c r="AL261" s="32"/>
    </row>
    <row r="262">
      <c r="AL262" s="32"/>
    </row>
    <row r="263">
      <c r="AL263" s="32"/>
    </row>
    <row r="264">
      <c r="AL264" s="32"/>
    </row>
    <row r="265">
      <c r="AL265" s="32"/>
    </row>
    <row r="266">
      <c r="AL266" s="32"/>
    </row>
    <row r="267">
      <c r="AL267" s="32"/>
    </row>
    <row r="268">
      <c r="AL268" s="32"/>
    </row>
    <row r="269">
      <c r="AL269" s="32"/>
    </row>
    <row r="270">
      <c r="AL270" s="32"/>
    </row>
    <row r="271">
      <c r="AL271" s="32"/>
    </row>
    <row r="272">
      <c r="AL272" s="32"/>
    </row>
    <row r="273">
      <c r="AL273" s="32"/>
    </row>
    <row r="274">
      <c r="AL274" s="32"/>
    </row>
    <row r="275">
      <c r="AL275" s="32"/>
    </row>
    <row r="276">
      <c r="AL276" s="32"/>
    </row>
    <row r="277">
      <c r="AL277" s="32"/>
    </row>
    <row r="278">
      <c r="AL278" s="32"/>
    </row>
    <row r="279">
      <c r="AL279" s="32"/>
    </row>
    <row r="280">
      <c r="AL280" s="32"/>
    </row>
    <row r="281">
      <c r="AL281" s="32"/>
    </row>
    <row r="282">
      <c r="AL282" s="32"/>
    </row>
    <row r="283">
      <c r="AL283" s="32"/>
    </row>
    <row r="284">
      <c r="AL284" s="32"/>
    </row>
    <row r="285">
      <c r="AL285" s="32"/>
    </row>
    <row r="286">
      <c r="AL286" s="32"/>
    </row>
    <row r="287">
      <c r="AL287" s="32"/>
    </row>
    <row r="288">
      <c r="AL288" s="32"/>
    </row>
    <row r="289">
      <c r="AL289" s="32"/>
    </row>
    <row r="290">
      <c r="AL290" s="32"/>
    </row>
    <row r="291">
      <c r="AL291" s="32"/>
    </row>
    <row r="292">
      <c r="AL292" s="32"/>
    </row>
    <row r="293">
      <c r="AL293" s="32"/>
    </row>
    <row r="294">
      <c r="AL294" s="32"/>
    </row>
    <row r="295">
      <c r="AL295" s="32"/>
    </row>
    <row r="296">
      <c r="AL296" s="32"/>
    </row>
    <row r="297">
      <c r="AL297" s="32"/>
    </row>
    <row r="298">
      <c r="AL298" s="32"/>
    </row>
    <row r="299">
      <c r="AL299" s="32"/>
    </row>
    <row r="300">
      <c r="AL300" s="32"/>
    </row>
    <row r="301">
      <c r="AL301" s="32"/>
    </row>
    <row r="302">
      <c r="AL302" s="32"/>
    </row>
    <row r="303">
      <c r="AL303" s="32"/>
    </row>
    <row r="304">
      <c r="AL304" s="32"/>
    </row>
    <row r="305">
      <c r="AL305" s="32"/>
    </row>
    <row r="306">
      <c r="AL306" s="32"/>
    </row>
    <row r="307">
      <c r="AL307" s="32"/>
    </row>
    <row r="308">
      <c r="AL308" s="32"/>
    </row>
    <row r="309">
      <c r="AL309" s="32"/>
    </row>
    <row r="310">
      <c r="AL310" s="32"/>
    </row>
    <row r="311">
      <c r="AL311" s="32"/>
    </row>
    <row r="312">
      <c r="AL312" s="32"/>
    </row>
    <row r="313">
      <c r="AL313" s="32"/>
    </row>
    <row r="314">
      <c r="AL314" s="32"/>
    </row>
    <row r="315">
      <c r="AL315" s="32"/>
    </row>
    <row r="316">
      <c r="AL316" s="32"/>
    </row>
    <row r="317">
      <c r="AL317" s="32"/>
    </row>
    <row r="318">
      <c r="AL318" s="32"/>
    </row>
  </sheetData>
  <hyperlinks>
    <hyperlink r:id="rId1" ref="AG29"/>
    <hyperlink r:id="rId2" ref="AG30"/>
    <hyperlink r:id="rId3" ref="AG31"/>
    <hyperlink r:id="rId4" ref="AG35"/>
    <hyperlink r:id="rId5" ref="AG36"/>
    <hyperlink r:id="rId6" ref="AG37"/>
    <hyperlink r:id="rId7" ref="AH68"/>
    <hyperlink r:id="rId8" ref="AH93"/>
  </hyperlinks>
  <drawing r:id="rId9"/>
  <tableParts count="1">
    <tablePart r:id="rId11"/>
  </tableParts>
</worksheet>
</file>